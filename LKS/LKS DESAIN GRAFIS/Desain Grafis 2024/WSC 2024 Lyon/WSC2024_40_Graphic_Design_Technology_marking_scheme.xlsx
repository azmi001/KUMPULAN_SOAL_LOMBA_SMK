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3"/>
  <workbookPr autoCompressPictures="0"/>
  <mc:AlternateContent>
    <mc:Choice Requires="x15">
      <x15ac:absPath xmlns:x15ac="http://schemas.microsoft.com/office/spreadsheetml/2010/11/ac" url="/Users/adam/git/CIS/src/main/resources/org/worldskills/cis/service/skill/"/>
    </mc:Choice>
  </mc:AlternateContent>
  <xr:revisionPtr revIDLastSave="0" documentId="13_ncr:1_{9CE4662E-C534-7A48-8AC9-72D297A8977A}" xr6:coauthVersionLast="47" xr6:coauthVersionMax="47" xr10:uidLastSave="{00000000-0000-0000-0000-000000000000}"/>
  <bookViews>
    <workbookView xWindow="15580" yWindow="-26720" windowWidth="28040" windowHeight="17440" xr2:uid="{00000000-000D-0000-FFFF-FFFF00000000}"/>
  </bookViews>
  <sheets>
    <sheet name="CIS Marking Scheme Import" sheetId="1" r:id="rId1"/>
    <sheet name="Calculations" sheetId="6"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<sst xmlns="http://schemas.openxmlformats.org/spreadsheetml/2006/main" count="2491" uniqueCount="418">
  <si>
    <t>Mark</t>
  </si>
  <si>
    <t>Aspect - Description</t>
  </si>
  <si>
    <t>Judg Score</t>
  </si>
  <si>
    <t>Max
Mark</t>
  </si>
  <si>
    <t>Total
Mark</t>
  </si>
  <si>
    <t>Competition</t>
  </si>
  <si>
    <t>Aspect
Type
M = Meas
J = Judg</t>
  </si>
  <si>
    <t>Criterion A</t>
  </si>
  <si>
    <t>Extra Aspect Description (Meas or Judg)
OR
Judgement Score Description (Judg only)</t>
  </si>
  <si>
    <t>Requirement
(Measurement Only)</t>
  </si>
  <si>
    <t>Day of Marking</t>
  </si>
  <si>
    <t>Calculation Row 
(Export only)</t>
  </si>
  <si>
    <t>Section</t>
  </si>
  <si>
    <t>Name</t>
  </si>
  <si>
    <t>Aspect Marks</t>
  </si>
  <si>
    <t>Sub
Criterion
ID</t>
  </si>
  <si>
    <t>Sub Criterion
Name or Description</t>
  </si>
  <si>
    <t>Criteria</t>
  </si>
  <si>
    <t>Variation</t>
  </si>
  <si>
    <t>ID</t>
  </si>
  <si>
    <t>Total Variation</t>
  </si>
  <si>
    <t>WorldSkills Occupational Standards</t>
  </si>
  <si>
    <t>WSOS Marks</t>
  </si>
  <si>
    <t>WSOS Section</t>
  </si>
  <si>
    <t>40 Graphic Design Technology</t>
  </si>
  <si>
    <t>Work organization and management</t>
  </si>
  <si>
    <t>Communication and interpersonal skills</t>
  </si>
  <si>
    <t>Problem solving</t>
  </si>
  <si>
    <t>Innovation, creativity, and design</t>
  </si>
  <si>
    <t>Technical aspects and output</t>
  </si>
  <si>
    <t>A</t>
  </si>
  <si>
    <t>Illustration Design</t>
  </si>
  <si>
    <t>B</t>
  </si>
  <si>
    <t>Editorial Design</t>
  </si>
  <si>
    <t>C</t>
  </si>
  <si>
    <t>Packaging Design</t>
  </si>
  <si>
    <t>D</t>
  </si>
  <si>
    <t>Display Design</t>
  </si>
  <si>
    <t>E</t>
  </si>
  <si>
    <t>PreComp Project and Presentation</t>
  </si>
  <si>
    <t>F</t>
  </si>
  <si>
    <t>G</t>
  </si>
  <si>
    <t>H</t>
  </si>
  <si>
    <t>I</t>
  </si>
  <si>
    <t>A1</t>
  </si>
  <si>
    <t>Day 1 YELLOW</t>
  </si>
  <si>
    <t/>
  </si>
  <si>
    <t>1</t>
  </si>
  <si>
    <t>J</t>
  </si>
  <si>
    <t>Task 1: Ideas and originality for the design of crimping</t>
  </si>
  <si>
    <t>The design lacks originality in interpreting the theme "From Brazil to Lyon". There is a noticeable absence of creative elements that symbolise the connection between the two cultures.</t>
  </si>
  <si>
    <t>Basic Originality: The design demonstrates a basic level of originality in interpreting the theme "From Brazil to Lyon". There is an attempt to incorporate elements symbolising the cultural connection.</t>
  </si>
  <si>
    <t>Strong Originality: The design shows a good level of originality in translating the theme "From Brazil to Lyon" into a visually appealing pattern or illustration.</t>
  </si>
  <si>
    <t>Exceptional Originality: The design exhibits exceptional originality and creativity in interpreting the theme "From Brazil to Lyon".</t>
  </si>
  <si>
    <t>Task 2: Use of colour, relevance to theme and Keywords and effectiveness</t>
  </si>
  <si>
    <t>The use of colour does not effectively incorporate the keywords "summer, warm, vibrant, Silk" or support the theme "From Brazil to Lyon". Colour choices are inappropriate or lack cohesion with the cultural or thematic context</t>
  </si>
  <si>
    <t>The use of colour moderately incorporates some of the keywords "summer, warm, vibrant, Silk" and supports the theme "From Brazil to Lyon", but lacks consistency. Colour choices are adequate but could be more cohesive in enhancing the thematic connection between Brazil and Lyon.</t>
  </si>
  <si>
    <t>The use of colour effectively incorporates the keywords "summer, warm, vibrant, Silk" and supports the theme "From Brazil to Lyon". Colour choices are well-thought-out and contribute to a coherent representation of the cultural or thematic connection between Brazil and Lyon, while highlighting the silk fabric.</t>
  </si>
  <si>
    <t>The colour options exhibit exceptional variety and creativity, demonstrating innovative choices and combinations. The proposed colour options fully meet and exceed the requirement of presenting four different main colours, showcasing outstanding interpretation and execution of the client's brief.</t>
  </si>
  <si>
    <t>Task 3: Typography (spacing, leading, font choice), Hierarchy</t>
  </si>
  <si>
    <t>The typography lacks consideration for spacing, leading, and font choice, resulting in poor readability and aesthetic coherence. There is no discernible hierarchy in the text elements, making it challenging for viewers to navigate and prioritise information.</t>
  </si>
  <si>
    <t>There is a basic attempt at spacing, leading, and font choice, but improvements are needed for better readability and visual appeal. Some effort is made to establish hierarchy, but important information may not stand out optimally.
The typography and hierarchy somewhat support the poster's message.</t>
  </si>
  <si>
    <t>The typography shows good consideration for spacing, leading, and font choice, enhancing readability and aesthetic appeal. There is a clear hierarchy in the text elements, guiding viewers through the poster with emphasis on key information.</t>
  </si>
  <si>
    <t>The typography is exemplary, with meticulous attention to spacing, leading, and font choice that enhances readability and visual impact. The hierarchy is exceptionally well-defined, ensuring optimal emphasis on key information and guiding viewers through the poster effortlessly. The typography and hierarchy are integral to the poster's success</t>
  </si>
  <si>
    <t>A2</t>
  </si>
  <si>
    <t>Day 1 ORANGE</t>
  </si>
  <si>
    <t>Task 1: Visual Impact on theme "From Brazil to Lyon"</t>
  </si>
  <si>
    <t>Impact on Theme: The design lacks visual appeal and fails to effectively convey the theme "From Brazil to Lyon".
Clarity: Visual elements are unclear or poorly executed, making it difficult to understand the connection between Brazil and Lyon.</t>
  </si>
  <si>
    <t>Moderate Impact on Theme: The design demonstrates moderate visual appeal, but it struggles to effectively convey the theme "From Brazil to Lyon".
Clarity: Visual elements are somewhat clear, but there are areas where improvement is needed in communicating the cultural or thematic connection.</t>
  </si>
  <si>
    <t>Strong Impact on Theme: The design has strong visual appeal and effectively communicates the theme "From Brazil to Lyon".
Clarity: Visual elements are clear and well-executed, enhancing the communication of the cultural or thematic connection between Brazil and Lyon.</t>
  </si>
  <si>
    <t>Exceptional Impact on Theme: The design exhibits exceptional visual appeal and communicates the theme "From Brazil to Lyon" with remarkable effectiveness.
Clarity: Visual elements are exceptionally clear and meticulously executed, facilitating a clear and compelling communication of the cultural or thematic connection between Brazil and Lyon.</t>
  </si>
  <si>
    <t>Task 2: Quality of the mounted presentations of the printout</t>
  </si>
  <si>
    <t>poor quality and has not been cut well, may be messy, not fully completed, or may not be correctly put together</t>
  </si>
  <si>
    <t>acceptable (could be presented to a client) is generally cut well and stuck together well and fairly clean</t>
  </si>
  <si>
    <t>cut and glued well, clean, facing correctly and stuck together</t>
  </si>
  <si>
    <t>an exceptional standard, cut and glued very well, clean, facing correctly and stuck together</t>
  </si>
  <si>
    <t>Task 3: Effective visual impact</t>
  </si>
  <si>
    <t>The poster lacks visual impact and fails to effectively convey the vibrant culture and colours of Brazil. It does not attract attention or evoke interest from the target group.</t>
  </si>
  <si>
    <t>There is a basic level of visual impact in conveying Brazil as the country of honour. The poster somewhat attracts attention, but the message of upcoming Silk in Lyon event could be clearer or more compelling.</t>
  </si>
  <si>
    <t>The poster has strong visual impact, effectively conveying Brazil as the country of honour with vibrant culture and colours. It attracts attention and engages the target group, effectively communicating the upcoming event Silk in Lyon.</t>
  </si>
  <si>
    <t>The poster exhibits exceptional visual impact, profoundly conveying Brazil as the country of honour through vibrant culture and colours. It captivates the attention of the target group and effectively highlights the event Silk in Lyon.</t>
  </si>
  <si>
    <t>A3</t>
  </si>
  <si>
    <t>Day 1 BLUE</t>
  </si>
  <si>
    <t>M</t>
  </si>
  <si>
    <t>Task 2: Colour mode and 5+1 colours</t>
  </si>
  <si>
    <t>Colour: Six (6) maximum – including black – no gradients, only solid colours (100% tint)
CMYK – no spot colour</t>
  </si>
  <si>
    <t>Task 3: All required text is present</t>
  </si>
  <si>
    <t>Silk in Lyon 
Festival de la soie	
21 au 24 Novembre 2024		
Palais de la Bourse, Lyon 2ème arrondissement
www.silkinlyon.com
facebook.com/silkinlyon
Instagram.com/silkinlyon
x.com/silkinlyon</t>
  </si>
  <si>
    <t>Task 3: All required elements in the layout</t>
  </si>
  <si>
    <t>Display five partner logos and 3 social network logos: 
•	Logo_Métropole_Lyon
•	Logo_Ville de Lyon 
•	Logo_Auvergne-Rhône-Alpes
•	Logo_unitex-opengraph
•	Logo_FrenchTEX
•	Facebook
•	Instagram
•	X</t>
  </si>
  <si>
    <t>Task 3:Production folder for Print</t>
  </si>
  <si>
    <t>Final production Folder: Collected folder for print with 1 x INDD, 1 x PDF/X-3:2002, Links (no Fonts and IDML)</t>
  </si>
  <si>
    <t>Task 2: Correct Layout</t>
  </si>
  <si>
    <t>Layout and format of 400 mm x 257 mm, margins: 10 mm, main illustration: 237 x 237 mm, textbox: 110 x 100 mm, small illustration: 50 x 50 mm</t>
  </si>
  <si>
    <t>A4</t>
  </si>
  <si>
    <t>Day 1 RED</t>
  </si>
  <si>
    <t>Task 2: Border and Crimp</t>
  </si>
  <si>
    <t>All drawings and shapes must have a crimp
5 mm thick border around your fabric design</t>
  </si>
  <si>
    <t>Task 3: Bleed and Canvas size</t>
  </si>
  <si>
    <t>• Canvas size: 500 mm (width) × 700 mm (height)
• Bleed: 3 mm</t>
  </si>
  <si>
    <t>Task 3: ICC Profile applied</t>
  </si>
  <si>
    <t>• Software: InDesign or Illustrator
• ICC profile: Uncoated FOGRA29 (ISO 12647-2:2004)</t>
  </si>
  <si>
    <t>Task 2: Colour options inline with client brief</t>
  </si>
  <si>
    <t>The colour options lack variety and creativity, with minimal differentiation between the four variations. The proposed colour options do not meet the requirement of presenting four distinct main colours.</t>
  </si>
  <si>
    <t>The colour options demonstrate moderate variety and some creativity, but there is room for improvement in differentiation. The proposed colour options partially meet the requirement of presenting four different main colours, but some variations may overlap too much in colour choice.</t>
  </si>
  <si>
    <t>The colour options show strong variety and creativity, with clear differentiation between the four variations. The proposed colour options largely meet the requirement of presenting four different main colours, demonstrating a good understanding and execution of the brief.</t>
  </si>
  <si>
    <t>A5</t>
  </si>
  <si>
    <t>Day 1 GREEN</t>
  </si>
  <si>
    <t>Task 3: Saving in a specified PDF  and JPG</t>
  </si>
  <si>
    <t>1 × PDF/X-4:2010 compliant PDF (original size) with the artwork, bleed data (no bleed marks), trim marks, colour bars for CMYK, and PDF layers intact. Include your competitor number in a corner of the PDF, outside of the artwork and bleed area. Named YY_Poster.pdf (case-sensitive, YY represents your competitor number).
1 x A4 Size jpg-File in RGB colour to discuss with the client. No print marks!</t>
  </si>
  <si>
    <t>All Task: File structure as required</t>
  </si>
  <si>
    <t>File structure as required</t>
  </si>
  <si>
    <t>Task 2: Saving in AI and specified PDF</t>
  </si>
  <si>
    <t>4 x Adobe Illustrator Document - Four colour variations must be proposed. Save them as four different Adobe Illustrator files. 
1 x A3 PDF of the Presentation Board:  PDF/X-4:2010 with Crop Marks and Colour Bars. No Bleed</t>
  </si>
  <si>
    <t>All Task: printout present</t>
  </si>
  <si>
    <t>Task 1: 1 x  Print and cut to 40% of original format
Task 2: 1 × Print of your Presentation Board reduced to fit A3 paper size together with only crop marks
Task 3: 1 × printout Poster reduced to fit on A3.
Include competitor number in the corner an ALL the printouts</t>
  </si>
  <si>
    <t>A6</t>
  </si>
  <si>
    <t>Day 1 GRAY</t>
  </si>
  <si>
    <t>Task 1: ICC Profile applied  and Image resolution</t>
  </si>
  <si>
    <t>Image: only vector
ICC profile: Coated GRACoL 2006 (ISO 12647-2:2004)</t>
  </si>
  <si>
    <t>Task 1: Contour and Doc. size</t>
  </si>
  <si>
    <t>Contour 100% Black and at least 3 pt
Doc size: 70 x 70 cm</t>
  </si>
  <si>
    <t>Task 1: Timely submission of the Crimp</t>
  </si>
  <si>
    <t>- Print and cut to 40% of original format
- Display your print on the presentation wall within two hours (120 minutes) after the competition starts. You are free to use any paper format you like.</t>
  </si>
  <si>
    <t>Task 1: Organisation parts of the contours into layers</t>
  </si>
  <si>
    <t>Organise different parts of the contours into layers to keep your work organised</t>
  </si>
  <si>
    <t>Task 1: Saving and specified PDF format</t>
  </si>
  <si>
    <t>- Save your Design in Adobe Illustrator
- 1 PDF/X-4 (PDF1.7) use only Trim Marks with 0.5 pt and colour conversion to Coated GRACol 2006</t>
  </si>
  <si>
    <t>Copy the digital document for assessment into the "File to Assess" folder specified in the briefing within 120 min after the start of the competition.</t>
  </si>
  <si>
    <t>Criterion B</t>
  </si>
  <si>
    <t>B1</t>
  </si>
  <si>
    <t>Day 2 YELLOW</t>
  </si>
  <si>
    <t>2</t>
  </si>
  <si>
    <t>Task 1: Effective visual composition of Cover</t>
  </si>
  <si>
    <t>The design lacks creativity in integrating images, text, logos, and the flap with the hemp fabric. It fails to offer a cohesive or innovative approach, resulting in a design that is uninspired and lacks visual impact.</t>
  </si>
  <si>
    <t>There is a basic attempt at creativity in integrating images, text, logos, and the flap with the hemp fabric. However, the design lacks originality or fails to fully utilize the potential for innovative design elements.</t>
  </si>
  <si>
    <t>The design presents a creative solution in integrating images, text, logos, and the flap with the hemp fabric. It demonstrates some originality and thoughtfulness in the approach, enhancing the overall visual coherence and tactile experience.</t>
  </si>
  <si>
    <t>The design exemplifies an exceptional creative solution in integrating images, text, logos, and the flap with the hemp fabric. It showcases innovative thinking and artistic flair, offering a unique and visually compelling presentation. The integration is seamless, enhancing both the aesthetic appeal and functional aspects of the booklet cover.</t>
  </si>
  <si>
    <t>Task 2:Structure, balance and space</t>
  </si>
  <si>
    <t>The layout is disorganised and lacks a clear structure, making it difficult to navigate through the booklet.
There is an imbalance in the use of space, with either too much clutter or excessive empty areas.</t>
  </si>
  <si>
    <t>The layout shows some attempt at organisation but lacks refinement, with areas that are not well-balanced or optimally spaced.
There is a basic structure, but the narrative flow is inconsistent, making it harder for readers to follow the content smoothly.</t>
  </si>
  <si>
    <t>The layout is well-organised, with a balanced use of space that supports a clear and coherent narrative flow.
Elements are thoughtfully placed, contributing to an aesthetically pleasing and functional design.
The layout effectively guides the reader through the booklet, enhancing both readability and visual appeal.</t>
  </si>
  <si>
    <t>The layout is exceptionally well-organised and balanced, facilitating an intuitive and engaging narrative flow.
Every element is meticulously placed, creating a visually harmonious and functional design that enhances the reader's experience.
The layout is visually stunning and highly practical, ensuring that the information about Alpine Hemp Technology is captivating and easy to follow for the target audience.</t>
  </si>
  <si>
    <t>Task 2: Quality of the MockUp</t>
  </si>
  <si>
    <t>The mockup shows significant flaws in trimming, cutting, and gluing, resulting in a messy and unprofessional appearance. Edges are uneven or frayed, and glue marks are visible, detracting from the overall quality.</t>
  </si>
  <si>
    <t>The mockup demonstrates a basic level of trimming, cutting, and gluing, but there are noticeable imperfections.
Edges may be somewhat uneven, and glue marks are present but minimal.</t>
  </si>
  <si>
    <t>The mockup is well-trimmed, cut, and glued, showing careful attention to detail and craftsmanship.
Edges are mostly even, and glue marks are minimal or not visible, contributing to a clean and professional look.</t>
  </si>
  <si>
    <t>The mockup is meticulously trimmed, cut, and glued, showcasing exceptional precision and craftsmanship.
Edges are perfectly even, and there are no visible glue marks, resulting in a highly polished and professional appearance.</t>
  </si>
  <si>
    <t>B2</t>
  </si>
  <si>
    <t>Day 2 ORANGE</t>
  </si>
  <si>
    <t>Task 2: Typographic Hierarchy and spacing</t>
  </si>
  <si>
    <t>The typography does not enhance readability, making the text difficult to read due to inappropriate font choices, inconsistent leading (line spacing), and poor alignment. The overall presentation is cluttered, detracting from both the readability and the aesthetic appeal of the booklet.</t>
  </si>
  <si>
    <t>There is an attempt to use typography that enhances readability, but it falls short due to suboptimal font choices, inconsistent leading, or minor alignment issues.
The typography contributes somewhat to the aesthetic appeal, but the reading experience is hindered by occasional readability issues.</t>
  </si>
  <si>
    <t>The typography chosen effectively enhances readability, with appropriate font choices, consistent leading, and careful alignment contributing to an easy and enjoyable reading experience.
Typography significantly enhances the aesthetic appeal of the booklet while ensuring that the information is clear and accessible to the target audience.</t>
  </si>
  <si>
    <t>The typography used demonstrates exceptional quality in enhancing readability, with thoughtful font selection, meticulous attention to leading and alignment, and an overall layout that provides an outstanding reading experience.
Typography not only enhances the booklet’s aesthetic appeal but also supports the narrative flow, ensuring that information about Alpine Hemp Technology is easily comprehensible and engaging for the target audience.</t>
  </si>
  <si>
    <t>Task 2: Colour Scheme and appropriateness to target market</t>
  </si>
  <si>
    <t>The colour scheme is inconsistent and fails to reflect the natural ethos of the Alpine environment or the sustainability of hemp.
Colours clash or are used haphazardly, detracting from the overall aesthetic and making the booklet visually unappealing.</t>
  </si>
  <si>
    <t>There is a basic attempt to create a coherent colour scheme, but it lacks harmony and does not fully capture the natural ethos of the Alpine environment or the sustainability of hemp.
The colour scheme contributes somewhat to the visual appeal but could be improved for better thematic representation and coherence.</t>
  </si>
  <si>
    <t>The colour scheme is coherent and effectively reflects the natural ethos of the Alpine environment and the sustainability of hemp.
Colours are well-chosen and harmoniously used throughout the booklet, enhancing the visual appeal and supporting the narrative.</t>
  </si>
  <si>
    <t>The colour scheme is exceptionally coherent and beautifully reflects the natural ethos of the Alpine environment and the sustainability of hemp.
Colours are thoughtfully selected and used consistently, creating a visually stunning and harmonious design.</t>
  </si>
  <si>
    <t>Task 3: Symbols style and creativity: Unity in form and relationship to the booklet</t>
  </si>
  <si>
    <t>The symbols lack originality and do not effectively represent the adjectives: natural, breathable, strong, and thermo-regulating. The design style is inconsistent and does not coordinate. Symbols are uninspired and fail to enhance the visual appeal of the booklet.</t>
  </si>
  <si>
    <t>The symbols show a basic attempt at representing the adjectives: natural, breathable, strong, and thermo-regulating. The design style is somewhat consistent but could be better coordinated.
There is some creativity in the form, but the overall impact is limited, and the symbols do not significantly enhance the visual appeal.</t>
  </si>
  <si>
    <t>The symbols effectively represent the adjectives: natural, breathable, strong, and thermo-regulating with a good level of thoughtfulness. The design style is consistent and well-coordinated, contributing to a cohesive look.
The symbols show a good degree of creativity, enhancing the visual appeal and thematic coherence of the booklet.</t>
  </si>
  <si>
    <t>The symbols exceptionally represent the adjectives: natural, breathable, strong, and thermo-regulating with outstanding originality. The design style is highly consistent and perfectly coordinated with the previously designed layout pages. The symbols demonstrate a high level of artistic flair and innovation, significantly enhancing the visual appeal and thematic coherence of the booklet.</t>
  </si>
  <si>
    <t>B3</t>
  </si>
  <si>
    <t>Day 2 BLUE</t>
  </si>
  <si>
    <t>Task 2: Colour mode and ICC Profile applied</t>
  </si>
  <si>
    <t>ICC Profile Uncoated Fogra29
CMYK - Pages from 9 to 16 have two spot colours + Black only</t>
  </si>
  <si>
    <t>Task 2: Final resolution of images and Bleed</t>
  </si>
  <si>
    <t>179–181 effective ppi InDesign
Bleed: 3 mm (only top, bottom and outside)</t>
  </si>
  <si>
    <t>Task 2: Layout as requested in the Task</t>
  </si>
  <si>
    <t>Size of Booklet (closed format): 16 cm x 24 cm
Booklet has 24 inner pages
Inside pages of the booklet must start with the number 1.
Create a "Table of Content" automatically on page 1.Size of Booklet</t>
  </si>
  <si>
    <t>Task 3: Colour mode of symbols and resolution</t>
  </si>
  <si>
    <t>Colour: 1 colour - monochromatic
Only vector</t>
  </si>
  <si>
    <t>All Task: Avoidance of Hemp Leaf Reference</t>
  </si>
  <si>
    <t>The cover and booklet design closely resembles a hemp leaf or its distinctive outline, strongly reminiscent of Cannabis visualisation, leading to potential misinterpretation and negative associations.</t>
  </si>
  <si>
    <t>The cover and booklet design shows some effort to avoid close reference to a hemp leaf, but noticeable elements still resemble Cannabis visualisation, potentially leading to misinterpretation.</t>
  </si>
  <si>
    <t>The cover and booklet design effectively avoids close references to a hemp leaf, with only subtle and abstract elements that may hint at the form, successfully differentiating from Cannabis visualisation.</t>
  </si>
  <si>
    <t>The cover and booklet design avoids any close reference to a hemp leaf or its distinctive outline, demonstrating high creativity in representing hemp without invoking Cannabis visualisation, ensuring no potential for misinterpretation.</t>
  </si>
  <si>
    <t>B4</t>
  </si>
  <si>
    <t>Day 2 RED</t>
  </si>
  <si>
    <t>Task 2: All required text in the layout</t>
  </si>
  <si>
    <t>The text to be used can be found in Appendix_01 Text. Follow descriptions in red colour and use the text in black colour. 
CAN change the capitalisation of the text as you wish. TEXT to be inserted is NOT case-sensitive. Extra Text is allowed</t>
  </si>
  <si>
    <t>Task 2: Correct naming and Master Page Elements</t>
  </si>
  <si>
    <t>File name: YY_Booklet-INNER.indd (YY represents the number of your workstation)
Paragraph Styles needed and named: "headline", "title", "subtitle", “text” (case-sensitive)
Master Page Elements: You must add the following elements
	- Page Number on every page
	- Running Headline: marked in “Booklet_Text.docx”
	- Recurrent design element (if needed on more than 2 pages).</t>
  </si>
  <si>
    <t>Task 2: Final production folder saved as required</t>
  </si>
  <si>
    <t>1x collected folder ready for print (assembled with cover and inside pages). The INDD Document in this folder will be assessed and the PDF in this folder must include cover and inside pages.</t>
  </si>
  <si>
    <t>Create a folder on your desktop called YY_Name-of-TP_DAY_Z , where YY represents the number of your workstation. “Name of TP” represents one of the 4 Test Projects (e.g. Illustration, Packaging,…) and Z the day of competition ( 1 to 4 ). The name of the folder does not contain any blanks.</t>
  </si>
  <si>
    <t>B5</t>
  </si>
  <si>
    <t>Day 2 GREEN</t>
  </si>
  <si>
    <t>Task 2: Saving in a specified PDF format as required</t>
  </si>
  <si>
    <t>1x print ready PDF/X-4:2010 – inside pages as single pages with cropmarks and bleed only</t>
  </si>
  <si>
    <t>Task 3: Saving in a specified PDF format as required</t>
  </si>
  <si>
    <t>1x file with all four symbols on one A3 page. Display each symbol in two different sizes. Once with the longest side max. 2 cm long/tall. Once with the longest side max. 10 cm long/high. &gt;&gt; 4 x 2 symbols on one A3</t>
  </si>
  <si>
    <t>Task 1: All required elements in the layout</t>
  </si>
  <si>
    <t>fabric (5 cm x 5 cm) must be fixed on the flap. 
QR Code: “https://www.salewa.com/alpine-hemp-men”
Saleva Logo Front Cover
Gmund Logo Inner Cover</t>
  </si>
  <si>
    <t>B6</t>
  </si>
  <si>
    <t>Day 2 GRAY</t>
  </si>
  <si>
    <t>Task 1: Correct naming</t>
  </si>
  <si>
    <t>Name the die line: "Die Line front"
File name: YY_Booklet-COVER.indd (YY number of your workstation</t>
  </si>
  <si>
    <t>Task 1: Final production folder saved as required and PDF</t>
  </si>
  <si>
    <t>1 x PDF/X-4:2010 of inside and outside spreads, with bleed, crop marks, fold lines, and the die line (die line on a separate layer).
Collected folder for print with 1 x INDD, 1 x PDF/X-4:2010, Links, IDML only (no Fonts)</t>
  </si>
  <si>
    <t>Task 1: Colour mode, Die Line and colour profile</t>
  </si>
  <si>
    <t>Colour: cmyk + spot colour for die line.
Colour profile: Uncoated Fogra29
QR Code only 100 black colour</t>
  </si>
  <si>
    <t>Task 1: Timely submission Cover</t>
  </si>
  <si>
    <t>Present design of the cover pages within two hours after the competition starts.
1 x Print and cut out to original size of spread of your cover pages outside (back cover outside, front cover outside, cover flap side of the fixed fabric). Glue and fix it on the provided black board.</t>
  </si>
  <si>
    <t>Task 1: printout present</t>
  </si>
  <si>
    <t>Task 1: 1 x A3 printout of the back cover, front cover, and cover flap outside as spreads, with bleed, crop and fold marks and die line ONLY. Ensure that you include your competitor number on the back of the mounting board.
Task 2: 1x A3 printout with page 12–13 and 18–19 as spread with bleed, crop marks and fold marks.
Task 3: 1x A3 printout with all four symbolised adjectives (four on 1 x A3 page) for presentation to the client together with the name text: “natural, breathable, strong, thermo-regulating”. You MUST presented this Printout on the provided black board. Cut the blackboard to a suitable size</t>
  </si>
  <si>
    <t>Task 1: Functionality and usability of Cover Design</t>
  </si>
  <si>
    <t>The design fails to effectively integrate the supplied hemp fabric into the booklet cover as specified. The fabric in not prominently visible and tactile on the exterior of the closed booklet, detracting from its intended presentation.</t>
  </si>
  <si>
    <t>The design achieves basic integration of the hemp fabric on the booklet cover. However, improvements are needed in the method of attachment or visibility to enhance practicality and aesthetic appeal. There is room for a more visually appealing solution.</t>
  </si>
  <si>
    <t>The design effectively integrates the supplied hemp fabric into the booklet cover, ensuring it is securely attached and prominently visible and tactile. The chosen method of integration meets practical requirements and enhances the overall aesthetic of the cover.</t>
  </si>
  <si>
    <t>The design demonstrates exceptional functionality in integrating the hemp fabric into the booklet cover. The fabric is attached in a visually appealing manner that enhances both tactile experience and overall aesthetic appeal. The solution showcases innovative and practical thinking, meeting all requirements with excellence.</t>
  </si>
  <si>
    <t>Criterion C</t>
  </si>
  <si>
    <t>C1</t>
  </si>
  <si>
    <t>Day 3 YELLOW</t>
  </si>
  <si>
    <t>3</t>
  </si>
  <si>
    <t>Task 1: Package Design to the Related Target Group</t>
  </si>
  <si>
    <t>The design lacks relevance and fails to appeal to the climbing and sustainable clothing audience. Integration of the rope and brochure is ineffective, with visuals not capturing interest.</t>
  </si>
  <si>
    <t>Some relevance to the target group, but the design does not fully engage them. Integration of elements is basic, and visuals are present but not significantly attractive.</t>
  </si>
  <si>
    <t>The design is relevant and appealing, effectively showcasing the rope and clothing line. Visuals and integration are attractive and coherent, with good use of additional materials.</t>
  </si>
  <si>
    <t>Highly relevant and appealing design, perfectly showcasing the rope and clothing line. Innovative, visually stunning, and seamlessly integrated, with excellent use of visuals and materials to engage the target audience.</t>
  </si>
  <si>
    <t>Task 3: Idea and Design of the Coupon</t>
  </si>
  <si>
    <t>The coupon design lacks creativity and fails to clearly communicate the 20% discount offer. The perforated line is not distinguishable, and the design does not integrate well with the overall packaging, leading to confusion and interference with the internal story layout.</t>
  </si>
  <si>
    <t>The coupon design shows a basic attempt to communicate the 20% discount offer but lacks strong visual appeal. The perforated line is somewhat distinguishable, but the design only moderately integrates with the packaging and may cause slight interference with the internal story layout.</t>
  </si>
  <si>
    <t>The coupon design effectively communicates the 20% discount offer with good visual appeal. The perforated line is clearly distinguishable, and the design integrates well with the overall packaging while remaining identifiable as a separate part, with minimal interference with the internal story layout.</t>
  </si>
  <si>
    <t>The coupon design is highly creative and clearly communicates the 20% discount offer on SALEWA's hemp clothing. The perforated line is exceptionally clear and functional, and the design harmonises perfectly with the overall packaging while being easily distinguishable as an extra part. There is no interference with the internal story layout, ensuring a seamless and professional presentation.</t>
  </si>
  <si>
    <t>Task 1: Package Shape/Die Line — Functionality and Usability</t>
  </si>
  <si>
    <t>The dieline lacks proper structure, details, and appeal. It is not well-suited for the intended packaging requirements, resulting in poor functionality and usability.</t>
  </si>
  <si>
    <t>The dieline demonstrates basic structural elements and detailing, but improvements are needed to enhance its appeal and functionality. It meets some requirements but lacks refinement in usability aspects.</t>
  </si>
  <si>
    <t>The dieline features solid structure, precise detailing, and appealing aesthetics, effectively meeting the packaging requirements. It offers good functionality and usability, making it practical and user-friendly.
3: Excellent Functionality and Usability</t>
  </si>
  <si>
    <t>The dieline showcases exceptional structure, intricate detailing, and high visual appeal, exceeding expectations in terms of quality and functionality. It is highly practical, user-friendly, and well-suited for the intended packaging requirements.</t>
  </si>
  <si>
    <t>C2</t>
  </si>
  <si>
    <t>Day 3 ORANGE</t>
  </si>
  <si>
    <t>Task 1: Package Colours — Choice, Harmony, Contrast related to the target group</t>
  </si>
  <si>
    <t>The use of colour lacks harmony and coherence, resulting in a visually jarring experience. There is a notable absence of a cohesive colour scheme that appeals to the target group of younger individuals aged 18–35 years, including active outdoor enthusiasts and environmentally conscious consumers.</t>
  </si>
  <si>
    <t>The colour palette shows some attempt at harmony, but improvements are needed for a more unified visual experience. Contrast may be lacking in certain areas, impacting the overall vibrancy. The design only partially appeals to the price-sensitive, value-seeking young professionals, students, and adventure seekers.</t>
  </si>
  <si>
    <t>The use of colour is well-coordinated, creating a harmonious and visually pleasing design. Contrast is effectively utilised to enhance key elements and create a balanced composition. The design effectively appeals to the interests and lifestyle of young, active outdoor enthusiasts who value sustainability and have a strong connection to nature.</t>
  </si>
  <si>
    <t>The colour scheme demonstrates an exceptional level of harmony, with each hue purposefully contributing to the overall emotional impact of the design. The use of colour is innovative and evokes a strong, positive response from the target audience of young professionals, students, and adventure seekers who appreciate quality and sustainable products.</t>
  </si>
  <si>
    <t>Task 1: Package Typography — Choice, Pairing, and Legibility</t>
  </si>
  <si>
    <t>The typography choice lacks coherence and legibility, resulting in a confusing and unappealing design. The font selection does not resonate with the target group of younger individuals aged 18–35 years, including active outdoor enthusiasts and environmentally conscious consumers.</t>
  </si>
  <si>
    <t>There is a basic attempt at choosing and pairing fonts, but the typography lacks strong coherence and legibility. Some fonts may be difficult to read or do not pair well together, making the package less appealing to the price-sensitive, value-seeking young professionals, students, and adventure seekers.</t>
  </si>
  <si>
    <t>The typography choice and pairing are well-coordinated, creating a coherent and legible design. Fonts are appropriately chosen to enhance readability and visual appeal, effectively targeting the interests and lifestyle of young, active outdoor enthusiasts who value sustainability and have a strong connection to nature.</t>
  </si>
  <si>
    <t>The typography choice and pairing demonstrate exceptional coherence and legibility, with innovative and appealing font selections. The typography enhances the overall design and strongly resonates with the target audience of young professionals, students, and adventure seekers who appreciate quality and sustainable products. The fonts are easy to read and pair well together, contributing to a visually compelling and functional package design.</t>
  </si>
  <si>
    <t>Task 2: Consistency and Visual Harmony of layout and packaging</t>
  </si>
  <si>
    <t>The design lacks consistency in style, colour scheme, and branding, resulting in a disjointed and unprofessional appearance that fails to cohesively tie the packaging and layout together.</t>
  </si>
  <si>
    <t>There is a basic attempt at maintaining consistency, but noticeable inconsistencies in style, colour scheme, and branding detract from the overall cohesion of the packaging and layout design.</t>
  </si>
  <si>
    <t>The design maintains a good level of consistency in style, colour scheme, and branding, effectively tying the packaging and layout together for a cohesive and visually appealing presentation.</t>
  </si>
  <si>
    <t>The design demonstrates exceptional consistency in style, colour scheme, and branding, creating a seamless and professional appearance that cohesively integrates the packaging and layout design.</t>
  </si>
  <si>
    <t>C3</t>
  </si>
  <si>
    <t>Day 3 BLUE</t>
  </si>
  <si>
    <t>Task 3: Correct size</t>
  </si>
  <si>
    <t>QR-Code 23 mm in size (from edge to edge of the black part - exact)
Coupon Size: 55 mm x 85 mm (portrait or landscape)</t>
  </si>
  <si>
    <t>Task 1: Package MockUp — Quality</t>
  </si>
  <si>
    <t>The assembled package exhibits sloppy craftsmanship, with visible errors in folding, cutting, and adhesive application. Structural integrity is compromised, resulting in an unstable or unattractive final product.</t>
  </si>
  <si>
    <t>The assembled package demonstrates rudimentary craftsmanship, with some inaccuracies in folding, cutting, or adhesive application. While functional, the final product may lack precision and refinement.</t>
  </si>
  <si>
    <t>The assembled package showcases solid craftsmanship, with accurate folding, precise cutting, and appropriate adhesive application. Structural integrity is maintained, resulting in a well-constructed and visually appealing final product.</t>
  </si>
  <si>
    <t>The assembled package is of exceptional quality, exhibiting flawless craftsmanship and attention to detail. Folding, cutting, and adhesive application are executed with precision, resulting in a professionally finished product that enhances the overall presentation and appeal of the design.</t>
  </si>
  <si>
    <t>Task 3: Presentation of the Prints on the Blackboard</t>
  </si>
  <si>
    <t>The prints of side A and side B of the coupon are not cut to the correct size and are poorly placed on the blackboard. The blackboard itself is not cut to a suitable size, resulting in an unprofessional and messy presentation.</t>
  </si>
  <si>
    <t>The prints of side A and side B of the coupon are cut to size but show minor imperfections. Placement on the blackboard is somewhat aligned but could be more precise. The blackboard is cut to a basic size, but the overall presentation lacks refinement.</t>
  </si>
  <si>
    <t>The prints of side A and side B of the coupon are accurately cut to the correct size and well-placed on the blackboard. The blackboard is cut to a suitable size, resulting in a neat and professional presentation.</t>
  </si>
  <si>
    <t>The prints of side A and side B of the coupon are perfectly cut to the correct size and meticulously placed on the blackboard. The blackboard is cut to an ideal size, showcasing a highly polished and professional presentation that enhances the visual impact of the coupon.</t>
  </si>
  <si>
    <t>Task 2: Inside Layout: Legibility, White Space, and Font Choice</t>
  </si>
  <si>
    <t>The text is difficult to read due to poor legibility. Inadequate use of white space leads to a cluttered layout. The font choice does not align with the theme and hinders readability.</t>
  </si>
  <si>
    <t>The text is somewhat readable but could be improved. Basic attempt to use white space, but it is not effectively balanced. The font choice is adequate but not fully complementary to the theme.</t>
  </si>
  <si>
    <t>The text is clear and readable. White space is well-utilised, creating a balanced layout. The font choice complements the theme and enhances readability.</t>
  </si>
  <si>
    <t>The text is exceptionally clear and readable. White space is expertly utilised, creating a clean and balanced layout. The font choice is outstanding, perfectly complementing the theme and enhancing</t>
  </si>
  <si>
    <t>C4</t>
  </si>
  <si>
    <t>Day 3 RED</t>
  </si>
  <si>
    <t>Task 1: All required elements present</t>
  </si>
  <si>
    <t>Fixation: The climbing rope must be securely fixed within the package. It should not be freely moving (as in a bag without any holding mechanism).
Packaging Background: The client has specified that the background of your packaging design must not be white.
Images: At least two of the provided images.
QR Code for “Check out more:”: https://www.salewa.com/double-7-9mm-rope-00-0000000446?c=516683
QR Code for “Want to Learn Even More about Ropes?”: https://edelrid.com/eu-en/knowledge/knowledge-base
•	Logo SALEWA 
•	Logo EDELRID
•	Logo ICON 
•	Logo Recycle</t>
  </si>
  <si>
    <t>Task 2: Colour mode and image resolution</t>
  </si>
  <si>
    <t>1 x A4 page size: Submit the inside layout design in InDesign or Illustrator on one (1) A4 artboard.
Colours: CMYK 
Resolution: Greyscale and colour: 150 effective ppi in InDesign and Illustrator</t>
  </si>
  <si>
    <t>Task 2: File format of linked images</t>
  </si>
  <si>
    <t>only .png and .psd Format allowed</t>
  </si>
  <si>
    <t>Task 2: Paragraph and Table Styles applied</t>
  </si>
  <si>
    <t>Paragraph styles: The entire text must be built on paragraph style templates. At least three different styles must be used and labelled as “Title”, “Subtitle”, and “Story” (case-sensitive).</t>
  </si>
  <si>
    <t>Task 2: All required text is present in the task</t>
  </si>
  <si>
    <t>Paragraph styles: The entire text must be built on paragraph style templates. At least three different styles must be used and labelled as “Title”, “Subtitle”, and “Story” (case-sensitive).
Ensure the text remains present and readable even after the coupon (Task 3) is removed from the Packaging.</t>
  </si>
  <si>
    <t>C5</t>
  </si>
  <si>
    <t>Day 3 GREEN</t>
  </si>
  <si>
    <t>1 x final composite PDF/X-3:2002 file (including bleed, colour bars, crop marks and die line)</t>
  </si>
  <si>
    <t>Task 1: Correct naming of print marks</t>
  </si>
  <si>
    <t>Name dieline cut lines “Cut lines”, on a separate layer, with a 0.5 pt stroke (not outlined), set to a spot colour, and set to overprint.
Name dieline fold lines  “Fold lines”, on a separate layer, with a 0.5 pt dashed stroke (not outlined), set to a spot colour, and set to overprint.
Name dieline glue areas “Glue dots”, on a separate layer, using dots (not outlined), set to a spot colour, and set to overprint.</t>
  </si>
  <si>
    <t>Task 1: Final production folder saved as required</t>
  </si>
  <si>
    <t>A packaged Adobe InDesign or Illustrator folder for submission that includes links used (no fonts, PDF, IDML).</t>
  </si>
  <si>
    <t>All Task: File structure follows the brief</t>
  </si>
  <si>
    <t>Create a folder on your desktop called YY_Name-of-TP_DAY_Z , where YY represents the number of your workstation. “Name of TP” represents one of the 4 Test Projects (e.c. Corporate Design, Packaging,
…) and Z the day of competition ( 1 to 4 ). The name of the folder does not contain any blanks.
All working, final and packaged files must be included in this folder. There is no other File or Folder on your Desktop. (example for workstation nr. 06 on the first competition Day)
e.g.: 06_Packaging_Design_DAY3</t>
  </si>
  <si>
    <t>1 x PDF/X-3:2002 A4 format with your Layout
1 x PDF/X-4:2008 inside page of the Packaging with bleed and die line. No extra print marks.</t>
  </si>
  <si>
    <t>Task 3: Colour and die line supplied as specified in the task</t>
  </si>
  <si>
    <t>Colour: CMYK + die line (perforated line). 
Bleed: 0 mm (no Bleed)
QR-Code only 100% Black</t>
  </si>
  <si>
    <t>C6</t>
  </si>
  <si>
    <t>Day 3 GRAY</t>
  </si>
  <si>
    <t>Task 1: Colour mode</t>
  </si>
  <si>
    <t>CMYK + three different spot colours for die line types
Both ICON (FSC, Recycle) logos must be 100% colour/white. No Gradient nor transparency permitted
ICC profile: ISO Coated v2 300% (ECI)</t>
  </si>
  <si>
    <t>Task 1: Final resolution of images as specified</t>
  </si>
  <si>
    <t>All logos and icons in vector format only
Resolution Greyscale and colour image: 150 effective ppi in InDesign and/or Illustrator</t>
  </si>
  <si>
    <t>Task 1: Bleed and size die line</t>
  </si>
  <si>
    <t>Bleed for die line: 3 mm
Max dimensions of die line within A2 Format: 594 mm × 420 mm or 420 mm × 594 mm</t>
  </si>
  <si>
    <t>Task 1: Saving in a specified PDF format as required</t>
  </si>
  <si>
    <t>One final PDF/X-4:2010 compliant file: including die line, bleed data (no bleed marks), colour bars and registration marks. Include your competitor number in a corner of the PDF of each page. Named YY_Package.pdf (case-sensitive, YY represents your competitor number).</t>
  </si>
  <si>
    <t>Task 1: 1 x colour printout, reduced to fit on A3 with bleed data (no bleed marks), including die line and competitor number outside the artwork area.
Task 2: 1 x A3 landscape print representing your Hemp Story Layout inside the Package in original size. The rest of your package design can go over the A3 page format.
Task 3: 1 x A4 double-sided printout on at 100% size together with the perforation line and parts of the surrounding packaging design</t>
  </si>
  <si>
    <t>Criterion D</t>
  </si>
  <si>
    <t>D1</t>
  </si>
  <si>
    <t>Day 4 YELLOW</t>
  </si>
  <si>
    <t>4</t>
  </si>
  <si>
    <t>Task 1: Creativity AND clarity of the message - drinking water</t>
  </si>
  <si>
    <t>The poster lacks creativity and fails to clearly communicate the urgency of ensuring universal and equitable access to safe and affordable drinking water. The message is confusing or unclear, and the design does not effectively highlight the gap between the set target and the estimated progress by 2030.</t>
  </si>
  <si>
    <t>The poster shows a basic level of creativity and communicates the message, but the design is somewhat generic and lacks strong visual appeal. The gap between the target and progress is indicated but not emphasised effectively. The overall message is understandable but not compelling.</t>
  </si>
  <si>
    <t>The poster is creatively designed and clearly communicates the urgency of achieving SDG Target 6.1. The visual elements are engaging and effectively highlight the gap between the target and progress by 2030. The message is clear, encouraging viewers to engage with the #WaterAction #Goal6 initiative.</t>
  </si>
  <si>
    <t>The poster demonstrates exceptional creativity and clarity in communicating the urgency of ensuring universal and equitable access to safe and affordable drinking water. The design is highly engaging, innovative, and visually compelling, with a clear emphasis on the gap between the target and estimated progress by 2030. The message is powerful and encourages strong engagement with the #WaterAction #Goal6 initiative.</t>
  </si>
  <si>
    <t>Task 1: Creativity AND clarity of the message - sanitation services</t>
  </si>
  <si>
    <t>The poster lacks creativity and fails to clearly communicate the urgency of ensuring universal and equitable access to sanitation services. The message is confusing or unclear, and the design does not effectively highlight the gap between the set target and the estimated progress by 2030.</t>
  </si>
  <si>
    <t>The poster demonstrates exceptional creativity and clarity in communicating the urgency of ensuring universal and equitable access to sanitation services. The design is highly engaging, innovative, and visually compelling, with a clear emphasis on the gap between the target and estimated progress by 2030. The message is powerful and encourages strong engagement with the #WaterAction #Goal6 initiative.</t>
  </si>
  <si>
    <t>Task 1: Creativity AND clarity of the message - hygiene facilities</t>
  </si>
  <si>
    <t>The poster lacks creativity and fails to clearly communicate the urgency of ensuring universal and equitable access to hygiene facilities. The message is confusing or unclear, and the design does not effectively highlight the gap between the set target and the estimated progress by 2030.</t>
  </si>
  <si>
    <t>The poster demonstrates exceptional creativity and clarity in communicating the urgency of ensuring universal and equitable access to hygiene facilities. The design is highly engaging, innovative, and visually compelling, with a clear emphasis on the gap between the target and estimated progress by 2030. The message is powerful and encourages strong engagement with the #WaterAction #Goal6 initiative.</t>
  </si>
  <si>
    <t>D2</t>
  </si>
  <si>
    <t>Day 4 ORANGE</t>
  </si>
  <si>
    <t>Task 2: Clear Understanding of Visual Storytelling</t>
  </si>
  <si>
    <t>The animations lack a clear understanding of visual storytelling. The sequences do not effectively convey the core messages of the posters, and the transitions between slides are confusing or disjointed. The overall impact is weak, failing to engage the audience or communicate the intended message.</t>
  </si>
  <si>
    <t>The animations demonstrate a basic understanding of visual storytelling. The sequences convey the core messages of the posters to some extent, but the storytelling is not fully compelling. The overall impact is moderate, with room for improvement in clarity and engagement.</t>
  </si>
  <si>
    <t>The animations show a good understanding of visual storytelling. The sequences effectively convey the core messages of the posters in a visually compelling manner. Transitions between slides contribute to a coherent narrative. The overall impact is strong, successfully engaging the audience and clearly communicating the intended message.</t>
  </si>
  <si>
    <t>The animations demonstrate an excellent understanding of visual storytelling. The sequences are highly effective in conveying the core messages of the posters, with innovative and visually compelling elements. Transitions between slides enhance the narrative flow. The overall impact is outstanding, deeply engaging the audience and powerfully communicating the intended message.</t>
  </si>
  <si>
    <t>All Task: Unity and relationship between the poster and animated billboard</t>
  </si>
  <si>
    <t>There is no apparent unity or relationship between the poster and the animated billboard. The design elements, messaging, and visual styles are disjointed, resulting in a lack of cohesive communication. The two tasks appear unrelated and fail to reinforce each other.</t>
  </si>
  <si>
    <t>There is some attempt to create unity and a relationship between the poster and the animated billboard, but it is minimal. The design elements and messaging show basic similarities, but the overall connection is weak. The two tasks do not effectively complement or reinforce each other.</t>
  </si>
  <si>
    <t>There is a good level of unity and relationship between the poster and the animated billboard. The design elements, visual styles, and messaging are well-coordinated, creating a cohesive and harmonious communication. The two tasks effectively complement and reinforce each other, enhancing the overall impact of the campaign.</t>
  </si>
  <si>
    <t>There is an exceptional level of unity and relationship between the poster and the animated billboard. The design elements, visual styles, and messaging are seamlessly integrated, creating a powerful and cohesive communication. The two tasks strongly complement and reinforce each other, maximising the overall impact and effectiveness of the campaign in raising awareness and mobilising action towards achieving SDG Target 6.1.</t>
  </si>
  <si>
    <t>Task 2: Effective use of visual composition, demonstrating technical proficiency,</t>
  </si>
  <si>
    <t>The animations lack technical proficiency. Elements are poorly arranged, resulting in a cluttered and unappealing presentation. The animations fail to demonstrate an understanding of design principles, and technical issues detract from the overall quality.</t>
  </si>
  <si>
    <t>The animations show technical proficiency. While elements are somewhat organised, the composition lacks balance and harmony. There are noticeable technical flaws, and the animations do not fully leverage design principles to enhance visual appeal.</t>
  </si>
  <si>
    <t>The animations exhibit good technical proficiency. Elements are well-arranged, creating a balanced and aesthetically pleasing presentation. The use of design principles is evident, and technical execution is solid, with minor flaws that do not significantly detract from the overall quality.</t>
  </si>
  <si>
    <t>The animations demonstrate excellent technical proficiency. Elements are meticulously arranged, resulting in a harmonious and visually compelling presentation. The use of design principles is sophisticated, and the technical execution is flawless, significantly enhancing the overall quality and impact of the animations.</t>
  </si>
  <si>
    <t>D3</t>
  </si>
  <si>
    <t>Day 4 BLUE</t>
  </si>
  <si>
    <t>Task 2: File and smart Objects as specified in the Task</t>
  </si>
  <si>
    <t>- Generate a non-destructive Photoshop or After Effects File
- Use vector smart objects for all imported elements</t>
  </si>
  <si>
    <t>Task 2: Video as specified</t>
  </si>
  <si>
    <t>- Aspect Ratio: Vertical (9:16)
- Resolution: exact 1080 × 1920 px (Full HD)
- Frame Rate: 30 frames per second (fps)
- File Format: MP4
- File Size: Maximum 287.6 MB</t>
  </si>
  <si>
    <t>Task 2: Canvas size and resolution of images as specified</t>
  </si>
  <si>
    <t>- Canvas Size: 19.05 × 33.87 cm
- Resolution: 144 ppi</t>
  </si>
  <si>
    <t>D4</t>
  </si>
  <si>
    <t>Day 4 RED</t>
  </si>
  <si>
    <t>Task 1: Document size, format and naming</t>
  </si>
  <si>
    <t>- Document Size (flat): exactly 25 inches (width) × 35 inches (height) 
- Document format: Adobe InDesign and/or Adobe Illustrator
- File naming: YY_Poster_Drinking.zz, YY_Poster_Sanitation.zz, YY_Poster_Hygiene.zz (case-sensitive, YY represents your competitor number and zz your document suffix)</t>
  </si>
  <si>
    <t>- 1 × MP4 File
- 1 × Photoshop .psd layered file or After Effects .aep working project native file, packaged and including linked files and fonts.</t>
  </si>
  <si>
    <t>Task 2: printout present and correct naming</t>
  </si>
  <si>
    <t>1 × A3 portrait: Print one frame from your video (the mock-up compilation) and the Name-Tag: YY_SDG6_ campaign. (YY represents your competitor number).</t>
  </si>
  <si>
    <t>Create a folder on your desktop called YY_Name-of-TP_DAY_Z , where YY represents the number of your workstation. “Name of TP” represents one of the 4 Test Projects (e.g. Corporate Design, Packaging,…) and Z the day of competition ( 1 to 4 ). The name of the folder does not contain any blanks.
All working, final and packaged files must be included in this folder. There is no other File or Folder on your Desktop. (example for Workstation nr. 06 on the first competition Day)
e.g. : 06_Display-Design_DAY4</t>
  </si>
  <si>
    <t>Task 2: File structure follows the brief</t>
  </si>
  <si>
    <t>To show the animation to your client, save it as a video file in an extra folder called “Video”
- 1 × RGB video format: MP4 file type.</t>
  </si>
  <si>
    <t>D5</t>
  </si>
  <si>
    <t>Day 4 GREEN</t>
  </si>
  <si>
    <t>Task 1: All required text and elements are present</t>
  </si>
  <si>
    <t>MUST use all the required/supplied text and data in table 01-Text-TASK 01.xlsx
MUST use main title for all three posters: (USE TEXT IN RED COLOUR)
	Open the Tap: Water Equity Now!
•	Subtitle Poster 1: Safe drinking water
•	Subtitle Poster 2: Safe sanitation services
•	Subtitle Poster 3: Safe hygiene facilities
MUST incorporate the UN-Water logo and campaign hashtags:#WaterAction, #Goal6</t>
  </si>
  <si>
    <t>Task 1: Colour mode, ICC profile and Resolution</t>
  </si>
  <si>
    <t>- Resolution: Only vector
- Colour Mode: CMYK 
- ICC Colour Profile: PSOuncoated_v3_FOGRA52i.icc &gt;&gt; Appendix_02</t>
  </si>
  <si>
    <t>1 × PDF/X-4:2010 of each poster (3 different documents) with crop marks only</t>
  </si>
  <si>
    <t>Collected folder for print with 1 x original File (IDD or AI), 1 x PDF 1.5 (smallest File Size) sRGB IEC 61966-2.1, Links, IDML only (no fonts)</t>
  </si>
  <si>
    <t>- 1 × A4 sheet of each poster (3 different printouts): scale to fit on A4 with with all printer’s marks
- 1 × A3 landscape sheet: place the posters next to each other, scale to fit on one A3 sheet 
- 1 x A3 sheet: Print a part of one of your posters in original size on A3 format to show the customer the text in real size.</t>
  </si>
  <si>
    <t>D6</t>
  </si>
  <si>
    <t>Day 4 GRAY</t>
  </si>
  <si>
    <t>Task 1: Timely submission of the presentation Posters</t>
  </si>
  <si>
    <t>Print the result scale to fit on A3 sheet of paper within 2,5 hours after competition starts</t>
  </si>
  <si>
    <t>Task 1: Timely submission of the poster presentation</t>
  </si>
  <si>
    <t>Copy this completed document ( refer to Present) within 150 minutes (2.5 hours) after the start of the competition into the "File to Assess" folder specified in the briefing.</t>
  </si>
  <si>
    <t>Task 1: Posters work well together, as well as separately</t>
  </si>
  <si>
    <t>The three posters lack coordination and do not work well together. Each poster appears disjointed and does not convey a cohesive message when viewed as a series. Individually, the posters fail to effectively communicate the intended message.</t>
  </si>
  <si>
    <t>The three posters show some attempt at coordination but still lack a strong cohesive element. While there are some common design elements, the posters do not fully work together as a series. Individually, the posters communicate the message but lack impact.</t>
  </si>
  <si>
    <t>The three posters are well-coordinated, sharing common design elements that create a cohesive series. Each poster works effectively both as part of the series and on its own. The messages are clear and consistent across all posters, enhancing the overall impact.</t>
  </si>
  <si>
    <t>The three posters demonstrate exceptional coordination, with a strong and cohesive design that ties them together as a compelling series. Each poster is highly effective both individually and as part of the series. The visual and thematic elements are seamlessly integrated, creating a powerful and unified campaign that effectively communicates the intended message.</t>
  </si>
  <si>
    <t>Task 1: Quality of the typographic Design - based on "How to Use Font Effectively"</t>
  </si>
  <si>
    <t>The typography fails to adhere to the guidelines outlined in "How to Use Font Effectively." Paragraph and letter spacing are inadequate, making the text appear cluttered. There is little distinction between capital and lowercase letters, and character shapes are difficult to distinguish. Font weight and width are poorly chosen, reducing readability. Color contrast does not comply with accessibility standards, making the text hard to read.</t>
  </si>
  <si>
    <t>The typography shows some adherence to the guidelines in "How to Use Font Effectively," but improvements are needed. Paragraph and letter spacing are somewhat adequate but could be better. There is a noticeable difference between capital and lowercase letters, but character shape distinction needs improvement. Font weight and width are chosen better, but readability is still impacted. Color contrast is present but could be enhanced for better accessibility.</t>
  </si>
  <si>
    <t>The typography effectively follows the guidelines in "How to Use Font Effectively." Paragraph and letter spacing are well-managed, ensuring readability. There is a clear distinction between capital and lowercase letters, and character shapes are easily distinguishable. Font weight and width are well-chosen, enhancing readability. Color contrast complies with accessibility standards, making the text clear and easy to read.</t>
  </si>
  <si>
    <t>The typography excels in adhering to the guidelines from "How to Use Font Effectively." Paragraph and letter spacing are perfect, providing excellent readability. There is a distinct difference between capital and lowercase letters, and character shapes are clearly differentiated. Font weight and width are optimally chosen, ensuring high readability even at smaller sizes. Color contrast follows guidelines, making the text highly accessible and easy to read for all viewers. The balance of these elements results in a visually appealing and highly readable design.</t>
  </si>
  <si>
    <t>Task 1: Quality and Sensible Placement of the Posters on the Billboard</t>
  </si>
  <si>
    <t>The placement of the posters on the billboard lacks thought and organisation. The designs are not well-displayed, and the quality of the virtual presentation is low, making it difficult to evaluate the impact. Posters may be misaligned, poorly scaled, or placed haphazardly, failing to create a cohesive and appealing visual.</t>
  </si>
  <si>
    <t>The placement of the posters on the billboard shows some effort but lacks finesse. While all placeholders are occupied, the arrangement appears somewhat random, and the quality of the virtual presentation is average. Posters are placed without a clear strategy, resulting in a less effective visual impact.</t>
  </si>
  <si>
    <t>The placement of the posters on the billboard is well-executed and thoughtful. The quality of the virtual presentation is high, with posters properly scaled and aligned. The arrangement is sensible, creating a cohesive and visually appealing display that effectively showcases the posters' impact.</t>
  </si>
  <si>
    <t>The placement of the posters on the billboard is exceptional, demonstrating meticulous attention to detail and strategic thinking. The quality of the virtual presentation is outstanding, with posters perfectly scaled, aligned, and positioned to maximise visual impact. The arrangement is highly effective, creating a powerful and cohesive visual that enhances the posters' message and appeal.</t>
  </si>
  <si>
    <t>Criterion E</t>
  </si>
  <si>
    <t>E1</t>
  </si>
  <si>
    <t>Sub Criterion 1</t>
  </si>
  <si>
    <t>Task 1: Correct naming and A1 Poster Template used without modification</t>
  </si>
  <si>
    <t>Your full name and the country you are representing. Ensure you include your country’s Worldskills logo device</t>
  </si>
  <si>
    <t>Task 2: Time Wisely, Not Too Short, Not Too Long - MAX 2 min</t>
  </si>
  <si>
    <t>Time management, presentation significantly exceeds or falls short of the allotted time.</t>
  </si>
  <si>
    <t>Limited time management, some portions rushed or too lengthy, impacting the overall flow.</t>
  </si>
  <si>
    <t>Good time management, presentation is within the allotted time, with a balanced pace.</t>
  </si>
  <si>
    <t>Excellent time management, utilizes the allocated time wisely, maintaining a well-paced and engaging presentation.</t>
  </si>
  <si>
    <t>Task 1: Strong Text Contrast and Accessibility for the Visually Impaired</t>
  </si>
  <si>
    <t>The poster displays poor text contrast, making it difficult to read from a distance. The typography does not meet accessibility standards, failing to accommodate visually impaired viewers. Overall, the text blends into the background, reducing readability and visual impact.</t>
  </si>
  <si>
    <t>The poster shows basic text contrast but still has areas where readability is compromised. The typography is somewhat accessible but could be improved to better accommodate visually impaired viewers. The text is readable but lacks the clarity needed for optimal accessibility.</t>
  </si>
  <si>
    <t>The poster demonstrates good text contrast, ensuring that typography is readable from a distance. The design meets accessibility standards, making it easier for visually impaired viewers to read. The text stands out clearly against the background, enhancing readability and visual appeal.</t>
  </si>
  <si>
    <t>The poster exhibits excellent text contrast, with typography that is highly readable from a distance. The design exceeds accessibility standards, providing exceptional readability for visually impaired viewers. The text is strikingly clear against the background, maximising both readability and visual impact.</t>
  </si>
  <si>
    <t>Task 2: Personal Information provided Introduction Remarks</t>
  </si>
  <si>
    <t>The introduction fails to grab attention or set the tone for the presentation. The presenter does not engage the audience, and the purpose of the presentation remains unclear.</t>
  </si>
  <si>
    <t>The introduction somewhat engages the audience but lacks impact. The presenter provides basic context, but it does not effectively capture interest or clearly convey the purpose of the presentation.</t>
  </si>
  <si>
    <t>The introduction effectively captures the audience's attention and clearly introduces the design concept. The presenter sets a positive tone, providing sufficient context and engaging the audience.</t>
  </si>
  <si>
    <t>The introduction captivates the audience and establishes a strong connection to the design. The presenter delivers a compelling and engaging introduction, clearly explaining the purpose and setting a highly professional and enthusiastic tone for the presentation.</t>
  </si>
  <si>
    <t>Task 2: Body Language/Presentation</t>
  </si>
  <si>
    <t>The presenter exhibits poor body language, lacking confidence and detracting from the presentation. Gestures and expressions are minimal or inappropriate, failing to engage the audience.</t>
  </si>
  <si>
    <t>The presenter shows limited body language with some elements of confidence, but overall, the presentation is not engaging. Gestures and expressions are used sporadically, with only partial effectiveness.</t>
  </si>
  <si>
    <t>The presenter demonstrates good body language, appearing confident and engaging. Gestures and expressions are effectively used to enhance communication and maintain audience interest throughout the presentation.</t>
  </si>
  <si>
    <t>The presenter exhibits exceptional body language, conveying confidence, enthusiasm, and professionalism. Gestures and expressions are seamlessly integrated, greatly enhancing the overall presentation and fully engaging the audience.</t>
  </si>
  <si>
    <t>Task 2: Closing remarks</t>
  </si>
  <si>
    <t>The closing remarks are weak and fail to leave a lasting impression or effectively summarise key points. The presentation ends abruptly without a clear conclusion.</t>
  </si>
  <si>
    <t>The closing remarks make some attempt to conclude the presentation but lack impact. The summary of key points is minimal, and the conclusion does not strongly resonate with the audience.</t>
  </si>
  <si>
    <t>The closing remarks are strong, effectively summarising key points and leaving a positive impression. The presentation concludes in a clear and organised manner, reinforcing the main messages.</t>
  </si>
  <si>
    <t>The closing remarks are outstanding, leaving a lasting impact and concluding the presentation on a high note. The key points are succinctly summarised, and the conclusion strongly resonates with the audience, reinforcing the overall message and purpose of the presentation.</t>
  </si>
  <si>
    <t>Criterion F</t>
  </si>
  <si>
    <t>Criterion G</t>
  </si>
  <si>
    <t>Criterion H</t>
  </si>
  <si>
    <t>Criterion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</si>
</sst>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theme="1"/>
      <name val="Arial"/>
      <family val="2"/>
    </font>
    <font>
      <sz val="8"/>
      <name val="Arial"/>
      <family val="2"/>
    </font>
    <font>
      <sz val="10"/>
      <name val="Arial"/>
      <family val="2"/>
    </font>
    <font>
      <sz val="10"/>
      <color indexed="9"/>
      <name val="Arial"/>
      <family val="2"/>
    </font>
    <font>
      <sz val="16"/>
      <name val="Arial"/>
      <family val="2"/>
    </font>
    <font>
      <sz val="16"/>
      <color indexed="8"/>
      <name val="Arial"/>
      <family val="2"/>
    </font>
    <font>
      <sz val="10"/>
      <color rgb="FFFFFFFF"/>
      <name val="Arial"/>
      <family val="2"/>
    </font>
    <font>
      <sz val="18"/>
      <color indexed="9"/>
      <name val="Arial"/>
      <family val="2"/>
    </font>
    <font>
      <sz val="16"/>
      <color indexed="9"/>
      <name val="Arial"/>
      <family val="2"/>
    </font>
    <font>
      <name val="Arial"/>
      <sz val="10.0"/>
    </font>
  </fonts>
  <fills count="7">
    <fill>
      <patternFill patternType="none"/>
    </fill>
    <fill>
      <patternFill patternType="gray125"/>
    </fill>
    <fill>
      <patternFill patternType="solid">
        <fgColor indexed="55"/>
        <bgColor indexed="64"/>
      </patternFill>
    </fill>
    <fill>
      <patternFill patternType="solid">
        <fgColor rgb="FF969696"/>
        <bgColor rgb="FF000000"/>
      </patternFill>
    </fill>
    <fill>
      <patternFill/>
    </fill>
    <fill>
      <patternFill>
        <fgColor indexed="64"/>
      </patternFill>
    </fill>
    <fill>
      <patternFill>
        <fgColor indexed="64"/>
        <bgColor indexed="64"/>
      </patternFill>
    </fill>
  </fills>
  <borders count="29">
    <border>
      <left/>
      <right/>
      <top/>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right style="medium"/>
    </border>
    <border>
      <right style="medium">
        <color indexed="8"/>
      </right>
    </border>
    <border>
      <left style="medium"/>
      <right style="medium"/>
    </border>
    <border>
      <left style="medium"/>
      <right style="medium">
        <color indexed="8"/>
      </right>
    </border>
    <border>
      <right style="medium">
        <color indexed="8"/>
      </right>
      <bottom style="medium"/>
    </border>
    <border>
      <right style="medium">
        <color indexed="8"/>
      </right>
      <bottom style="medium">
        <color indexed="8"/>
      </bottom>
    </border>
    <border>
      <left style="medium">
        <color indexed="8"/>
      </left>
      <right style="medium">
        <color indexed="8"/>
      </right>
    </border>
    <border>
      <left style="medium">
        <color indexed="8"/>
      </left>
      <right style="medium">
        <color indexed="8"/>
      </right>
      <bottom style="medium"/>
    </border>
    <border>
      <left style="medium">
        <color indexed="8"/>
      </left>
      <right style="medium">
        <color indexed="8"/>
      </right>
      <bottom style="medium">
        <color indexed="8"/>
      </bottom>
    </border>
    <border>
      <right style="medium"/>
      <bottom>
        <color indexed="8"/>
      </bottom>
    </border>
    <border>
      <left>
        <color indexed="8"/>
      </left>
      <right style="medium"/>
      <bottom>
        <color indexed="8"/>
      </bottom>
    </border>
    <border>
      <left>
        <color indexed="8"/>
      </left>
      <right style="medium">
        <color indexed="8"/>
      </right>
      <bottom>
        <color indexed="8"/>
      </bottom>
    </border>
    <border>
      <left>
        <color indexed="8"/>
      </left>
      <right style="medium">
        <color indexed="8"/>
      </right>
      <top>
        <color indexed="8"/>
      </top>
      <bottom>
        <color indexed="8"/>
      </bottom>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right style="medium"/>
      <bottom style="medium"/>
    </border>
    <border>
      <right style="medium"/>
      <bottom style="medium">
        <color indexed="8"/>
      </bottom>
    </border>
    <border>
      <left>
        <color indexed="8"/>
      </left>
      <right style="medium"/>
      <bottom style="medium">
        <color indexed="8"/>
      </bottom>
    </border>
    <border>
      <left>
        <color indexed="8"/>
      </left>
      <right style="medium">
        <color indexed="8"/>
      </right>
      <bottom style="medium">
        <color indexed="8"/>
      </bottom>
    </border>
    <border>
      <left>
        <color indexed="8"/>
      </left>
      <right style="medium">
        <color indexed="8"/>
      </right>
      <top>
        <color indexed="8"/>
      </top>
      <bottom style="medium">
        <color indexed="8"/>
      </bottom>
    </border>
  </borders>
  <cellStyleXfs count="1">
    <xf numFmtId="0" fontId="0" fillId="0" borderId="0"/>
  </cellStyleXfs>
  <cellXfs count="156">
    <xf numFmtId="0" fontId="0" fillId="0" borderId="0" xfId="0"/>
    <xf numFmtId="0" fontId="0" fillId="0" borderId="0" xfId="0" applyFont="1"/>
    <xf numFmtId="0" fontId="2" fillId="0" borderId="0" xfId="0" applyFont="1" applyFill="1" applyBorder="1" applyAlignment="1">
      <alignment horizontal="center" vertical="center"/>
    </xf>
    <xf numFmtId="2" fontId="0" fillId="0" borderId="0" xfId="0" applyNumberFormat="1"/>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2" fillId="0" borderId="0" xfId="0" applyFont="1" applyAlignment="1">
      <alignment horizontal="center" vertical="center"/>
    </xf>
    <xf numFmtId="0" fontId="3" fillId="2"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0" fillId="0" borderId="0" xfId="0" applyAlignment="1">
      <alignment horizontal="center" vertical="center"/>
    </xf>
    <xf numFmtId="0" fontId="0" fillId="0" borderId="1" xfId="0" applyBorder="1"/>
    <xf numFmtId="0" fontId="0" fillId="0" borderId="0" xfId="0" applyBorder="1" applyAlignment="1">
      <alignment horizontal="center" vertical="center"/>
    </xf>
    <xf numFmtId="0" fontId="0" fillId="0" borderId="0" xfId="0" applyBorder="1"/>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9" fillId="0" borderId="0" xfId="0" applyFont="true" applyAlignment="true">
      <alignment horizontal="left" vertical="center"/>
    </xf>
    <xf numFmtId="0" fontId="9" fillId="0" borderId="0" xfId="0" applyFont="true" applyAlignment="true">
      <alignment horizontal="center" vertical="center"/>
    </xf>
    <xf numFmtId="2" fontId="9" fillId="0" borderId="0" xfId="0" applyFont="true" applyAlignment="true" applyNumberFormat="true">
      <alignment horizontal="center" vertical="center"/>
    </xf>
    <xf numFmtId="0" fontId="9" fillId="0" borderId="7" xfId="0" applyFont="true" applyAlignment="true" applyBorder="true">
      <alignment horizontal="left" vertical="center"/>
    </xf>
    <xf numFmtId="0" fontId="9" fillId="0" borderId="9" xfId="0" applyFont="true" applyAlignment="true" applyBorder="true">
      <alignment horizontal="center" vertical="center"/>
    </xf>
    <xf numFmtId="2" fontId="9" fillId="0" borderId="9" xfId="0" applyFont="true" applyAlignment="true" applyBorder="true" applyNumberFormat="true">
      <alignment horizontal="center" vertical="center"/>
    </xf>
    <xf numFmtId="2" fontId="9" fillId="0" borderId="7" xfId="0" applyFont="true" applyAlignment="true" applyBorder="true" applyNumberFormat="true">
      <alignment horizontal="center" vertical="center"/>
    </xf>
    <xf numFmtId="0" fontId="9" fillId="0" borderId="11" xfId="0" applyFont="true" applyAlignment="true" applyBorder="true">
      <alignment horizontal="left" vertical="center"/>
    </xf>
    <xf numFmtId="0" fontId="9" fillId="0" borderId="14" xfId="0" applyFont="true" applyAlignment="true" applyBorder="true">
      <alignment horizontal="center" vertical="center"/>
    </xf>
    <xf numFmtId="2" fontId="9" fillId="0" borderId="14" xfId="0" applyFont="true" applyAlignment="true" applyBorder="true" applyNumberFormat="true">
      <alignment horizontal="center" vertical="center"/>
    </xf>
    <xf numFmtId="0" fontId="0" fillId="6" borderId="18" xfId="0" applyAlignment="true" applyBorder="true" applyNumberFormat="true" applyFill="true" applyFont="true" quotePrefix="false">
      <alignment horizontal="general" vertical="bottom" indent="0" textRotation="0" wrapText="false" shrinkToFit="false"/>
      <protection hidden="false" locked="true"/>
    </xf>
    <xf numFmtId="0" fontId="0" fillId="6" borderId="23" xfId="0" applyAlignment="true" applyBorder="true" applyNumberFormat="true" applyFill="true" applyFont="true" quotePrefix="false">
      <alignment horizontal="general" vertical="bottom" indent="0" textRotation="0" wrapText="false" shrinkToFit="false"/>
      <protection hidden="false" locked="true"/>
    </xf>
    <xf numFmtId="0" fontId="0" fillId="6" borderId="28" xfId="0" applyAlignment="true" applyBorder="true" applyNumberFormat="true" applyFill="true" applyFont="true" quotePrefix="false">
      <alignment horizontal="general" vertical="bottom" indent="0" textRotation="0" wrapText="false" shrinkToFit="false"/>
      <protection hidden="false" locked="true"/>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drawings/_rels/vmlDrawing1.vml.rels><?xml version="1.0" encoding="UTF-8" standalone="yes"?><Relationships xmlns="http://schemas.openxmlformats.org/package/2006/relationships"><Relationship Id="rId1" Target="../media/image1.png" Type="http://schemas.openxmlformats.org/officeDocument/2006/relationships/image"/></Relationships>
</file>

<file path=xl/drawings/_rels/vmlDrawing2.vml.rels><?xml version="1.0" encoding="UTF-8" standalone="yes"?><Relationships xmlns="http://schemas.openxmlformats.org/package/2006/relationships"><Relationship Id="rId1" Target="../media/image1.png" Type="http://schemas.openxmlformats.org/officeDocument/2006/relationships/imag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7"/>
  <sheetViews>
    <sheetView tabSelected="1" workbookViewId="0">
      <selection activeCell="F21" sqref="F21"/>
    </sheetView>
  </sheetViews>
  <sheetFormatPr baseColWidth="10" defaultColWidth="8.83203125" defaultRowHeight="13" x14ac:dyDescent="0.15"/>
  <cols>
    <col min="1" max="1" customWidth="true" width="7.6640625"/>
    <col min="2" max="2" customWidth="true" width="39.0"/>
    <col min="3" max="3" customWidth="true" width="7.83203125"/>
    <col min="4" max="4" customWidth="true" width="8.5"/>
    <col min="5" max="5" customWidth="true" width="52.1640625"/>
    <col min="6" max="6" customWidth="true" width="8.0"/>
    <col min="7" max="7" customWidth="true" width="46.6640625"/>
    <col min="8" max="8" customWidth="true" width="15.5"/>
    <col min="9" max="9" customWidth="true" width="11.33203125"/>
    <col min="10" max="10" customWidth="true" width="11.0"/>
    <col min="11" max="11" customWidth="true" width="10.6640625"/>
    <col min="12" max="12" customWidth="true" width="18.5"/>
    <col min="14" max="14" bestFit="true" customWidth="true" width="10.6640625"/>
  </cols>
  <sheetData>
    <row r="1" spans="1:14" ht="49" customHeight="1" thickBot="1" x14ac:dyDescent="0.2">
      <c r="A1" s="26" t="s">
        <v>24</v>
      </c>
      <c r="B1" s="27"/>
      <c r="C1" s="27"/>
      <c r="D1" s="27"/>
      <c r="E1" s="27"/>
      <c r="F1" s="27"/>
      <c r="G1" s="27"/>
      <c r="H1" s="27"/>
      <c r="I1" s="27"/>
      <c r="J1" s="27"/>
      <c r="K1" s="28"/>
    </row>
    <row r="2" spans="1:14" ht="36" customHeight="1" thickBot="1" x14ac:dyDescent="0.2">
      <c r="C2" s="2"/>
      <c r="E2" s="2"/>
      <c r="J2" s="2"/>
    </row>
    <row r="3" spans="1:14" ht="35" customHeight="1" thickBot="1" x14ac:dyDescent="0.2">
      <c r="A3" s="20" t="s">
        <v>21</v>
      </c>
      <c r="B3" s="21"/>
      <c r="C3" s="21"/>
      <c r="D3" s="21"/>
      <c r="E3" s="21"/>
      <c r="F3" s="21"/>
      <c r="G3" s="21"/>
      <c r="H3" s="21"/>
      <c r="I3" s="21"/>
      <c r="J3" s="21"/>
      <c r="K3" s="22"/>
    </row>
    <row r="4" spans="1:14" ht="35" customHeight="1" thickBot="1" x14ac:dyDescent="0.2">
      <c r="A4" s="11" t="s">
        <v>12</v>
      </c>
      <c r="B4" s="17" t="s">
        <v>22</v>
      </c>
      <c r="C4" s="18"/>
      <c r="D4" s="18"/>
      <c r="E4" s="18"/>
      <c r="F4" s="18"/>
      <c r="G4" s="18"/>
      <c r="H4" s="19"/>
      <c r="I4" s="12" t="s">
        <v>22</v>
      </c>
      <c r="J4" s="12" t="s">
        <v>14</v>
      </c>
      <c r="K4" s="12" t="s">
        <v>18</v>
      </c>
    </row>
    <row r="5" ht="25.0" customHeight="true">
      <c r="A5" t="n" s="35">
        <v>1.0</v>
      </c>
      <c r="B5" t="s" s="34">
        <v>25</v>
      </c>
      <c r="H5" s="41"/>
      <c r="I5" t="n" s="37">
        <v>10.0</v>
      </c>
      <c r="J5" s="36">
        <f>SUMIF(I27:I336, A5, K27:K336)</f>
      </c>
      <c r="K5" s="36">
        <f>ABS(I5-J5)</f>
      </c>
    </row>
    <row r="6" ht="25.0" customHeight="true">
      <c r="A6" t="n" s="35">
        <v>2.0</v>
      </c>
      <c r="B6" t="s" s="34">
        <v>26</v>
      </c>
      <c r="H6" s="41"/>
      <c r="I6" t="n" s="37">
        <v>10.0</v>
      </c>
      <c r="J6" s="36">
        <f>SUMIF(I27:I336, A6, K27:K336)</f>
      </c>
      <c r="K6" s="36">
        <f>ABS(I6-J6)</f>
      </c>
    </row>
    <row r="7" ht="25.0" customHeight="true">
      <c r="A7" t="n" s="35">
        <v>3.0</v>
      </c>
      <c r="B7" t="s" s="34">
        <v>27</v>
      </c>
      <c r="H7" s="41"/>
      <c r="I7" t="n" s="37">
        <v>10.0</v>
      </c>
      <c r="J7" s="36">
        <f>SUMIF(I27:I336, A7, K27:K336)</f>
      </c>
      <c r="K7" s="36">
        <f>ABS(I7-J7)</f>
      </c>
    </row>
    <row r="8" ht="25.0" customHeight="true">
      <c r="A8" t="n" s="35">
        <v>4.0</v>
      </c>
      <c r="B8" t="s" s="34">
        <v>28</v>
      </c>
      <c r="H8" s="41"/>
      <c r="I8" t="n" s="37">
        <v>35.0</v>
      </c>
      <c r="J8" s="36">
        <f>SUMIF(I27:I336, A8, K27:K336)</f>
      </c>
      <c r="K8" s="36">
        <f>ABS(I8-J8)</f>
      </c>
    </row>
    <row r="9" ht="25.0" customHeight="true">
      <c r="A9" t="n" s="39">
        <v>5.0</v>
      </c>
      <c r="B9" t="s" s="38">
        <v>29</v>
      </c>
      <c r="C9" s="42"/>
      <c r="D9" s="42"/>
      <c r="E9" s="42"/>
      <c r="F9" s="42"/>
      <c r="G9" s="42"/>
      <c r="H9" s="43"/>
      <c r="I9" t="n" s="40">
        <v>35.0</v>
      </c>
      <c r="J9" s="40">
        <f>SUMIF(I27:I336, A9, K27:K336)</f>
      </c>
      <c r="K9" s="40">
        <f>ABS(I9-J9)</f>
      </c>
    </row>
    <row r="10" spans="1:14" ht="25.0" customHeight="true" thickBot="1" x14ac:dyDescent="0.2">
      <c r="C10" s="10"/>
      <c r="E10" s="10"/>
      <c r="I10" s="29" t="s">
        <v>20</v>
      </c>
      <c r="J10" s="30"/>
      <c r="K10" s="40">
        <f>SUM(K5:K9)</f>
      </c>
    </row>
    <row r="11" spans="1:14" ht="20" customHeight="1" x14ac:dyDescent="0.15">
      <c r="C11" s="10"/>
      <c r="E11" s="10"/>
      <c r="I11" s="15"/>
      <c r="J11" s="15"/>
      <c r="K11" s="16"/>
    </row>
    <row r="12" spans="1:14" ht="20" customHeight="1" thickBot="1" x14ac:dyDescent="0.2">
      <c r="C12" s="10"/>
      <c r="E12" s="10"/>
      <c r="I12" s="13"/>
      <c r="J12" s="10"/>
    </row>
    <row r="13" spans="1:14" ht="35.0" customHeight="true" thickBot="1" x14ac:dyDescent="0.2">
      <c r="A13" s="20" t="s">
        <v>17</v>
      </c>
      <c r="B13" s="21"/>
      <c r="C13" s="21"/>
      <c r="D13" s="21"/>
      <c r="E13" s="21"/>
      <c r="F13" s="21"/>
      <c r="G13" s="21"/>
      <c r="H13" s="21"/>
      <c r="I13" s="21"/>
      <c r="J13" s="21"/>
      <c r="K13" s="22"/>
    </row>
    <row r="14" spans="1:14" ht="35.0" customHeight="true" thickBot="1" x14ac:dyDescent="0.2">
      <c r="A14" s="11" t="s">
        <v>19</v>
      </c>
      <c r="B14" s="23" t="s">
        <v>13</v>
      </c>
      <c r="C14" s="24"/>
      <c r="D14" s="24"/>
      <c r="E14" s="24"/>
      <c r="F14" s="24"/>
      <c r="G14" s="24"/>
      <c r="H14" s="24"/>
      <c r="I14" s="24"/>
      <c r="J14" s="25"/>
      <c r="K14" s="11" t="s">
        <v>0</v>
      </c>
    </row>
    <row r="15" ht="25.0" customHeight="true">
      <c r="A15" t="s" s="35">
        <v>30</v>
      </c>
      <c r="B15" t="s" s="34">
        <v>31</v>
      </c>
      <c r="J15" s="41"/>
      <c r="K15" t="n" s="37">
        <v>24.0</v>
      </c>
    </row>
    <row r="16" ht="25.0" customHeight="true">
      <c r="A16" t="s" s="35">
        <v>32</v>
      </c>
      <c r="B16" t="s" s="34">
        <v>33</v>
      </c>
      <c r="J16" s="41"/>
      <c r="K16" t="n" s="37">
        <v>24.5</v>
      </c>
    </row>
    <row r="17" ht="25.0" customHeight="true">
      <c r="A17" t="s" s="35">
        <v>34</v>
      </c>
      <c r="B17" t="s" s="34">
        <v>35</v>
      </c>
      <c r="J17" s="41"/>
      <c r="K17" t="n" s="37">
        <v>25.75</v>
      </c>
    </row>
    <row r="18" ht="25.0" customHeight="true">
      <c r="A18" t="s" s="35">
        <v>36</v>
      </c>
      <c r="B18" t="s" s="34">
        <v>37</v>
      </c>
      <c r="J18" s="41"/>
      <c r="K18" t="n" s="37">
        <v>22.75</v>
      </c>
    </row>
    <row r="19" ht="25.0" customHeight="true">
      <c r="A19" t="s" s="35">
        <v>38</v>
      </c>
      <c r="B19" t="s" s="34">
        <v>39</v>
      </c>
      <c r="J19" s="41"/>
      <c r="K19" t="n" s="37">
        <v>3.0</v>
      </c>
    </row>
    <row r="20" ht="25.0" customHeight="true">
      <c r="A20" t="s" s="35">
        <v>40</v>
      </c>
      <c r="B20" s="34"/>
      <c r="J20" s="41"/>
      <c r="K20" s="37"/>
    </row>
    <row r="21" ht="25.0" customHeight="true">
      <c r="A21" t="s" s="35">
        <v>41</v>
      </c>
      <c r="B21" s="34"/>
      <c r="J21" s="41"/>
      <c r="K21" s="37"/>
    </row>
    <row r="22" ht="25.0" customHeight="true">
      <c r="A22" t="s" s="35">
        <v>42</v>
      </c>
      <c r="B22" s="34"/>
      <c r="J22" s="41"/>
      <c r="K22" s="37"/>
    </row>
    <row r="23" ht="25.0" customHeight="true">
      <c r="A23" t="s" s="39">
        <v>43</v>
      </c>
      <c r="B23" s="38"/>
      <c r="C23" s="42"/>
      <c r="D23" s="42"/>
      <c r="E23" s="42"/>
      <c r="F23" s="42"/>
      <c r="G23" s="42"/>
      <c r="H23" s="42"/>
      <c r="I23" s="42"/>
      <c r="J23" s="43"/>
      <c r="K23" s="40"/>
    </row>
    <row r="24" spans="1:14" ht="20" customHeight="1" x14ac:dyDescent="0.15">
      <c r="F24" s="8"/>
      <c r="G24" s="9"/>
      <c r="H24" s="9"/>
      <c r="I24" s="9"/>
      <c r="J24" s="3"/>
    </row>
    <row r="25" spans="1:14" ht="20" customHeight="1" thickBot="1" x14ac:dyDescent="0.2">
      <c r="C25" s="3"/>
      <c r="H25" s="3"/>
      <c r="I25" s="3"/>
      <c r="J25" s="3"/>
    </row>
    <row r="26" spans="1:14" ht="71" thickBot="1" x14ac:dyDescent="0.2">
      <c r="A26" s="4" t="s">
        <v>15</v>
      </c>
      <c r="B26" s="4" t="s">
        <v>16</v>
      </c>
      <c r="C26" s="4" t="s">
        <v>10</v>
      </c>
      <c r="D26" s="4" t="s">
        <v>6</v>
      </c>
      <c r="E26" s="4" t="s">
        <v>1</v>
      </c>
      <c r="F26" s="4" t="s">
        <v>2</v>
      </c>
      <c r="G26" s="4" t="s">
        <v>8</v>
      </c>
      <c r="H26" s="4" t="s">
        <v>9</v>
      </c>
      <c r="I26" s="4" t="s">
        <v>23</v>
      </c>
      <c r="J26" s="4" t="s">
        <v>11</v>
      </c>
      <c r="K26" s="4" t="s">
        <v>3</v>
      </c>
      <c r="L26" s="5" t="s">
        <v>7</v>
      </c>
      <c r="M26" s="6" t="s">
        <v>4</v>
      </c>
      <c r="N26" s="7">
        <f>SUM(K27:K87)</f>
      </c>
    </row>
    <row r="27">
      <c r="A27" s="35" t="s">
        <v>44</v>
      </c>
      <c r="B27" s="34" t="s">
        <v>45</v>
      </c>
      <c r="C27" s="35" t="s">
        <v>47</v>
      </c>
      <c r="D27" s="34" t="s">
        <v>46</v>
      </c>
      <c r="E27" s="34" t="s">
        <v>46</v>
      </c>
      <c r="F27" s="34" t="s">
        <v>46</v>
      </c>
      <c r="G27" s="34" t="s">
        <v>46</v>
      </c>
      <c r="H27" s="34" t="s">
        <v>46</v>
      </c>
      <c r="I27" s="34" t="s">
        <v>46</v>
      </c>
      <c r="J27" s="34" t="s">
        <v>46</v>
      </c>
      <c r="K27" s="34" t="s">
        <v>46</v>
      </c>
    </row>
    <row r="28">
      <c r="A28" s="35" t="s">
        <v>46</v>
      </c>
      <c r="B28" s="34" t="s">
        <v>46</v>
      </c>
      <c r="C28" s="35" t="s">
        <v>46</v>
      </c>
      <c r="D28" s="35" t="s">
        <v>48</v>
      </c>
      <c r="E28" s="34" t="s">
        <v>49</v>
      </c>
      <c r="F28" s="35" t="s">
        <v>46</v>
      </c>
      <c r="G28" s="34" t="s">
        <v>46</v>
      </c>
      <c r="H28" s="34" t="s">
        <v>46</v>
      </c>
      <c r="I28" s="35" t="n">
        <v>4.0</v>
      </c>
      <c r="J28" s="35"/>
      <c r="K28" s="37" t="n">
        <v>1.5</v>
      </c>
    </row>
    <row r="29">
      <c r="A29" s="35" t="s">
        <v>46</v>
      </c>
      <c r="B29" s="34" t="s">
        <v>46</v>
      </c>
      <c r="C29" s="35" t="s">
        <v>46</v>
      </c>
      <c r="D29" s="35" t="s">
        <v>46</v>
      </c>
      <c r="E29" s="34" t="s">
        <v>46</v>
      </c>
      <c r="F29" s="35" t="n">
        <v>0.0</v>
      </c>
      <c r="G29" s="34" t="s">
        <v>50</v>
      </c>
      <c r="H29" s="34" t="s">
        <v>46</v>
      </c>
      <c r="I29" s="35"/>
      <c r="J29" s="35"/>
      <c r="K29" s="37"/>
    </row>
    <row r="30">
      <c r="A30" s="35" t="s">
        <v>46</v>
      </c>
      <c r="B30" s="34" t="s">
        <v>46</v>
      </c>
      <c r="C30" s="35" t="s">
        <v>46</v>
      </c>
      <c r="D30" s="35" t="s">
        <v>46</v>
      </c>
      <c r="E30" s="34" t="s">
        <v>46</v>
      </c>
      <c r="F30" s="35" t="n">
        <v>1.0</v>
      </c>
      <c r="G30" s="34" t="s">
        <v>51</v>
      </c>
      <c r="H30" s="34" t="s">
        <v>46</v>
      </c>
      <c r="I30" s="35"/>
      <c r="J30" s="35"/>
      <c r="K30" s="37"/>
    </row>
    <row r="31">
      <c r="A31" s="35" t="s">
        <v>46</v>
      </c>
      <c r="B31" s="34" t="s">
        <v>46</v>
      </c>
      <c r="C31" s="35" t="s">
        <v>46</v>
      </c>
      <c r="D31" s="35" t="s">
        <v>46</v>
      </c>
      <c r="E31" s="34" t="s">
        <v>46</v>
      </c>
      <c r="F31" s="35" t="n">
        <v>2.0</v>
      </c>
      <c r="G31" s="34" t="s">
        <v>52</v>
      </c>
      <c r="H31" s="34" t="s">
        <v>46</v>
      </c>
      <c r="I31" s="35"/>
      <c r="J31" s="35"/>
      <c r="K31" s="37"/>
    </row>
    <row r="32">
      <c r="A32" s="35" t="s">
        <v>46</v>
      </c>
      <c r="B32" s="34" t="s">
        <v>46</v>
      </c>
      <c r="C32" s="35" t="s">
        <v>46</v>
      </c>
      <c r="D32" s="35" t="s">
        <v>46</v>
      </c>
      <c r="E32" s="34" t="s">
        <v>46</v>
      </c>
      <c r="F32" s="35" t="n">
        <v>3.0</v>
      </c>
      <c r="G32" s="34" t="s">
        <v>53</v>
      </c>
      <c r="H32" s="34" t="s">
        <v>46</v>
      </c>
      <c r="I32" s="35"/>
      <c r="J32" s="35"/>
      <c r="K32" s="37"/>
    </row>
    <row r="33">
      <c r="A33" s="35" t="s">
        <v>46</v>
      </c>
      <c r="B33" s="34" t="s">
        <v>46</v>
      </c>
      <c r="C33" s="35" t="s">
        <v>46</v>
      </c>
      <c r="D33" s="35" t="s">
        <v>48</v>
      </c>
      <c r="E33" s="34" t="s">
        <v>54</v>
      </c>
      <c r="F33" s="35" t="s">
        <v>46</v>
      </c>
      <c r="G33" s="34" t="s">
        <v>46</v>
      </c>
      <c r="H33" s="34" t="s">
        <v>46</v>
      </c>
      <c r="I33" s="35" t="n">
        <v>4.0</v>
      </c>
      <c r="J33" s="35"/>
      <c r="K33" s="37" t="n">
        <v>1.5</v>
      </c>
    </row>
    <row r="34">
      <c r="A34" s="35" t="s">
        <v>46</v>
      </c>
      <c r="B34" s="34" t="s">
        <v>46</v>
      </c>
      <c r="C34" s="35" t="s">
        <v>46</v>
      </c>
      <c r="D34" s="35" t="s">
        <v>46</v>
      </c>
      <c r="E34" s="34" t="s">
        <v>46</v>
      </c>
      <c r="F34" s="35" t="n">
        <v>0.0</v>
      </c>
      <c r="G34" s="34" t="s">
        <v>55</v>
      </c>
      <c r="H34" s="34" t="s">
        <v>46</v>
      </c>
      <c r="I34" s="35"/>
      <c r="J34" s="35"/>
      <c r="K34" s="37"/>
    </row>
    <row r="35">
      <c r="A35" s="35" t="s">
        <v>46</v>
      </c>
      <c r="B35" s="34" t="s">
        <v>46</v>
      </c>
      <c r="C35" s="35" t="s">
        <v>46</v>
      </c>
      <c r="D35" s="35" t="s">
        <v>46</v>
      </c>
      <c r="E35" s="34" t="s">
        <v>46</v>
      </c>
      <c r="F35" s="35" t="n">
        <v>1.0</v>
      </c>
      <c r="G35" s="34" t="s">
        <v>56</v>
      </c>
      <c r="H35" s="34" t="s">
        <v>46</v>
      </c>
      <c r="I35" s="35"/>
      <c r="J35" s="35"/>
      <c r="K35" s="37"/>
    </row>
    <row r="36">
      <c r="A36" s="35" t="s">
        <v>46</v>
      </c>
      <c r="B36" s="34" t="s">
        <v>46</v>
      </c>
      <c r="C36" s="35" t="s">
        <v>46</v>
      </c>
      <c r="D36" s="35" t="s">
        <v>46</v>
      </c>
      <c r="E36" s="34" t="s">
        <v>46</v>
      </c>
      <c r="F36" s="35" t="n">
        <v>2.0</v>
      </c>
      <c r="G36" s="34" t="s">
        <v>57</v>
      </c>
      <c r="H36" s="34" t="s">
        <v>46</v>
      </c>
      <c r="I36" s="35"/>
      <c r="J36" s="35"/>
      <c r="K36" s="37"/>
    </row>
    <row r="37">
      <c r="A37" s="35" t="s">
        <v>46</v>
      </c>
      <c r="B37" s="34" t="s">
        <v>46</v>
      </c>
      <c r="C37" s="35" t="s">
        <v>46</v>
      </c>
      <c r="D37" s="35" t="s">
        <v>46</v>
      </c>
      <c r="E37" s="34" t="s">
        <v>46</v>
      </c>
      <c r="F37" s="35" t="n">
        <v>3.0</v>
      </c>
      <c r="G37" s="34" t="s">
        <v>58</v>
      </c>
      <c r="H37" s="34" t="s">
        <v>46</v>
      </c>
      <c r="I37" s="35"/>
      <c r="J37" s="35"/>
      <c r="K37" s="37"/>
    </row>
    <row r="38">
      <c r="A38" s="35" t="s">
        <v>46</v>
      </c>
      <c r="B38" s="34" t="s">
        <v>46</v>
      </c>
      <c r="C38" s="35" t="s">
        <v>46</v>
      </c>
      <c r="D38" s="35" t="s">
        <v>48</v>
      </c>
      <c r="E38" s="34" t="s">
        <v>59</v>
      </c>
      <c r="F38" s="35" t="s">
        <v>46</v>
      </c>
      <c r="G38" s="34" t="s">
        <v>46</v>
      </c>
      <c r="H38" s="34" t="s">
        <v>46</v>
      </c>
      <c r="I38" s="35" t="n">
        <v>4.0</v>
      </c>
      <c r="J38" s="35"/>
      <c r="K38" s="37" t="n">
        <v>2.0</v>
      </c>
    </row>
    <row r="39">
      <c r="A39" s="35" t="s">
        <v>46</v>
      </c>
      <c r="B39" s="34" t="s">
        <v>46</v>
      </c>
      <c r="C39" s="35" t="s">
        <v>46</v>
      </c>
      <c r="D39" s="35" t="s">
        <v>46</v>
      </c>
      <c r="E39" s="34" t="s">
        <v>46</v>
      </c>
      <c r="F39" s="35" t="n">
        <v>0.0</v>
      </c>
      <c r="G39" s="34" t="s">
        <v>60</v>
      </c>
      <c r="H39" s="34" t="s">
        <v>46</v>
      </c>
      <c r="I39" s="35"/>
      <c r="J39" s="35"/>
      <c r="K39" s="37"/>
    </row>
    <row r="40">
      <c r="A40" s="35" t="s">
        <v>46</v>
      </c>
      <c r="B40" s="34" t="s">
        <v>46</v>
      </c>
      <c r="C40" s="35" t="s">
        <v>46</v>
      </c>
      <c r="D40" s="35" t="s">
        <v>46</v>
      </c>
      <c r="E40" s="34" t="s">
        <v>46</v>
      </c>
      <c r="F40" s="35" t="n">
        <v>1.0</v>
      </c>
      <c r="G40" s="34" t="s">
        <v>61</v>
      </c>
      <c r="H40" s="34" t="s">
        <v>46</v>
      </c>
      <c r="I40" s="35"/>
      <c r="J40" s="35"/>
      <c r="K40" s="37"/>
    </row>
    <row r="41">
      <c r="A41" s="35" t="s">
        <v>46</v>
      </c>
      <c r="B41" s="34" t="s">
        <v>46</v>
      </c>
      <c r="C41" s="35" t="s">
        <v>46</v>
      </c>
      <c r="D41" s="35" t="s">
        <v>46</v>
      </c>
      <c r="E41" s="34" t="s">
        <v>46</v>
      </c>
      <c r="F41" s="35" t="n">
        <v>2.0</v>
      </c>
      <c r="G41" s="34" t="s">
        <v>62</v>
      </c>
      <c r="H41" s="34" t="s">
        <v>46</v>
      </c>
      <c r="I41" s="35"/>
      <c r="J41" s="35"/>
      <c r="K41" s="37"/>
    </row>
    <row r="42">
      <c r="A42" s="35" t="s">
        <v>46</v>
      </c>
      <c r="B42" s="34" t="s">
        <v>46</v>
      </c>
      <c r="C42" s="35" t="s">
        <v>46</v>
      </c>
      <c r="D42" s="35" t="s">
        <v>46</v>
      </c>
      <c r="E42" s="34" t="s">
        <v>46</v>
      </c>
      <c r="F42" s="35" t="n">
        <v>3.0</v>
      </c>
      <c r="G42" s="34" t="s">
        <v>63</v>
      </c>
      <c r="H42" s="34" t="s">
        <v>46</v>
      </c>
      <c r="I42" s="35"/>
      <c r="J42" s="35"/>
      <c r="K42" s="37"/>
    </row>
    <row r="43">
      <c r="A43" s="35" t="s">
        <v>64</v>
      </c>
      <c r="B43" s="34" t="s">
        <v>65</v>
      </c>
      <c r="C43" s="35" t="s">
        <v>47</v>
      </c>
      <c r="D43" s="34" t="s">
        <v>46</v>
      </c>
      <c r="E43" s="34" t="s">
        <v>46</v>
      </c>
      <c r="F43" s="34" t="s">
        <v>46</v>
      </c>
      <c r="G43" s="34" t="s">
        <v>46</v>
      </c>
      <c r="H43" s="34" t="s">
        <v>46</v>
      </c>
      <c r="I43" s="34" t="s">
        <v>46</v>
      </c>
      <c r="J43" s="34" t="s">
        <v>46</v>
      </c>
      <c r="K43" s="34" t="s">
        <v>46</v>
      </c>
    </row>
    <row r="44">
      <c r="A44" s="35" t="s">
        <v>46</v>
      </c>
      <c r="B44" s="34" t="s">
        <v>46</v>
      </c>
      <c r="C44" s="35" t="s">
        <v>46</v>
      </c>
      <c r="D44" s="35" t="s">
        <v>48</v>
      </c>
      <c r="E44" s="34" t="s">
        <v>66</v>
      </c>
      <c r="F44" s="35" t="s">
        <v>46</v>
      </c>
      <c r="G44" s="34" t="s">
        <v>46</v>
      </c>
      <c r="H44" s="34" t="s">
        <v>46</v>
      </c>
      <c r="I44" s="35" t="n">
        <v>4.0</v>
      </c>
      <c r="J44" s="35"/>
      <c r="K44" s="37" t="n">
        <v>2.0</v>
      </c>
    </row>
    <row r="45">
      <c r="A45" s="35" t="s">
        <v>46</v>
      </c>
      <c r="B45" s="34" t="s">
        <v>46</v>
      </c>
      <c r="C45" s="35" t="s">
        <v>46</v>
      </c>
      <c r="D45" s="35" t="s">
        <v>46</v>
      </c>
      <c r="E45" s="34" t="s">
        <v>46</v>
      </c>
      <c r="F45" s="35" t="n">
        <v>0.0</v>
      </c>
      <c r="G45" s="34" t="s">
        <v>67</v>
      </c>
      <c r="H45" s="34" t="s">
        <v>46</v>
      </c>
      <c r="I45" s="35"/>
      <c r="J45" s="35"/>
      <c r="K45" s="37"/>
    </row>
    <row r="46">
      <c r="A46" s="35" t="s">
        <v>46</v>
      </c>
      <c r="B46" s="34" t="s">
        <v>46</v>
      </c>
      <c r="C46" s="35" t="s">
        <v>46</v>
      </c>
      <c r="D46" s="35" t="s">
        <v>46</v>
      </c>
      <c r="E46" s="34" t="s">
        <v>46</v>
      </c>
      <c r="F46" s="35" t="n">
        <v>1.0</v>
      </c>
      <c r="G46" s="34" t="s">
        <v>68</v>
      </c>
      <c r="H46" s="34" t="s">
        <v>46</v>
      </c>
      <c r="I46" s="35"/>
      <c r="J46" s="35"/>
      <c r="K46" s="37"/>
    </row>
    <row r="47">
      <c r="A47" s="35" t="s">
        <v>46</v>
      </c>
      <c r="B47" s="34" t="s">
        <v>46</v>
      </c>
      <c r="C47" s="35" t="s">
        <v>46</v>
      </c>
      <c r="D47" s="35" t="s">
        <v>46</v>
      </c>
      <c r="E47" s="34" t="s">
        <v>46</v>
      </c>
      <c r="F47" s="35" t="n">
        <v>2.0</v>
      </c>
      <c r="G47" s="34" t="s">
        <v>69</v>
      </c>
      <c r="H47" s="34" t="s">
        <v>46</v>
      </c>
      <c r="I47" s="35"/>
      <c r="J47" s="35"/>
      <c r="K47" s="37"/>
    </row>
    <row r="48">
      <c r="A48" s="35" t="s">
        <v>46</v>
      </c>
      <c r="B48" s="34" t="s">
        <v>46</v>
      </c>
      <c r="C48" s="35" t="s">
        <v>46</v>
      </c>
      <c r="D48" s="35" t="s">
        <v>46</v>
      </c>
      <c r="E48" s="34" t="s">
        <v>46</v>
      </c>
      <c r="F48" s="35" t="n">
        <v>3.0</v>
      </c>
      <c r="G48" s="34" t="s">
        <v>70</v>
      </c>
      <c r="H48" s="34" t="s">
        <v>46</v>
      </c>
      <c r="I48" s="35"/>
      <c r="J48" s="35"/>
      <c r="K48" s="37"/>
    </row>
    <row r="49">
      <c r="A49" s="35" t="s">
        <v>46</v>
      </c>
      <c r="B49" s="34" t="s">
        <v>46</v>
      </c>
      <c r="C49" s="35" t="s">
        <v>46</v>
      </c>
      <c r="D49" s="35" t="s">
        <v>48</v>
      </c>
      <c r="E49" s="34" t="s">
        <v>71</v>
      </c>
      <c r="F49" s="35" t="s">
        <v>46</v>
      </c>
      <c r="G49" s="34" t="s">
        <v>46</v>
      </c>
      <c r="H49" s="34" t="s">
        <v>46</v>
      </c>
      <c r="I49" s="35" t="n">
        <v>2.0</v>
      </c>
      <c r="J49" s="35"/>
      <c r="K49" s="37" t="n">
        <v>1.0</v>
      </c>
    </row>
    <row r="50">
      <c r="A50" s="35" t="s">
        <v>46</v>
      </c>
      <c r="B50" s="34" t="s">
        <v>46</v>
      </c>
      <c r="C50" s="35" t="s">
        <v>46</v>
      </c>
      <c r="D50" s="35" t="s">
        <v>46</v>
      </c>
      <c r="E50" s="34" t="s">
        <v>46</v>
      </c>
      <c r="F50" s="35" t="n">
        <v>0.0</v>
      </c>
      <c r="G50" s="34" t="s">
        <v>72</v>
      </c>
      <c r="H50" s="34" t="s">
        <v>46</v>
      </c>
      <c r="I50" s="35"/>
      <c r="J50" s="35"/>
      <c r="K50" s="37"/>
    </row>
    <row r="51">
      <c r="A51" s="35" t="s">
        <v>46</v>
      </c>
      <c r="B51" s="34" t="s">
        <v>46</v>
      </c>
      <c r="C51" s="35" t="s">
        <v>46</v>
      </c>
      <c r="D51" s="35" t="s">
        <v>46</v>
      </c>
      <c r="E51" s="34" t="s">
        <v>46</v>
      </c>
      <c r="F51" s="35" t="n">
        <v>1.0</v>
      </c>
      <c r="G51" s="34" t="s">
        <v>73</v>
      </c>
      <c r="H51" s="34" t="s">
        <v>46</v>
      </c>
      <c r="I51" s="35"/>
      <c r="J51" s="35"/>
      <c r="K51" s="37"/>
    </row>
    <row r="52">
      <c r="A52" s="35" t="s">
        <v>46</v>
      </c>
      <c r="B52" s="34" t="s">
        <v>46</v>
      </c>
      <c r="C52" s="35" t="s">
        <v>46</v>
      </c>
      <c r="D52" s="35" t="s">
        <v>46</v>
      </c>
      <c r="E52" s="34" t="s">
        <v>46</v>
      </c>
      <c r="F52" s="35" t="n">
        <v>2.0</v>
      </c>
      <c r="G52" s="34" t="s">
        <v>74</v>
      </c>
      <c r="H52" s="34" t="s">
        <v>46</v>
      </c>
      <c r="I52" s="35"/>
      <c r="J52" s="35"/>
      <c r="K52" s="37"/>
    </row>
    <row r="53">
      <c r="A53" s="35" t="s">
        <v>46</v>
      </c>
      <c r="B53" s="34" t="s">
        <v>46</v>
      </c>
      <c r="C53" s="35" t="s">
        <v>46</v>
      </c>
      <c r="D53" s="35" t="s">
        <v>46</v>
      </c>
      <c r="E53" s="34" t="s">
        <v>46</v>
      </c>
      <c r="F53" s="35" t="n">
        <v>3.0</v>
      </c>
      <c r="G53" s="34" t="s">
        <v>75</v>
      </c>
      <c r="H53" s="34" t="s">
        <v>46</v>
      </c>
      <c r="I53" s="35"/>
      <c r="J53" s="35"/>
      <c r="K53" s="37"/>
    </row>
    <row r="54">
      <c r="A54" s="35" t="s">
        <v>46</v>
      </c>
      <c r="B54" s="34" t="s">
        <v>46</v>
      </c>
      <c r="C54" s="35" t="s">
        <v>46</v>
      </c>
      <c r="D54" s="35" t="s">
        <v>48</v>
      </c>
      <c r="E54" s="34" t="s">
        <v>76</v>
      </c>
      <c r="F54" s="35" t="s">
        <v>46</v>
      </c>
      <c r="G54" s="34" t="s">
        <v>46</v>
      </c>
      <c r="H54" s="34" t="s">
        <v>46</v>
      </c>
      <c r="I54" s="35" t="n">
        <v>4.0</v>
      </c>
      <c r="J54" s="35"/>
      <c r="K54" s="37" t="n">
        <v>2.0</v>
      </c>
    </row>
    <row r="55">
      <c r="A55" s="35" t="s">
        <v>46</v>
      </c>
      <c r="B55" s="34" t="s">
        <v>46</v>
      </c>
      <c r="C55" s="35" t="s">
        <v>46</v>
      </c>
      <c r="D55" s="35" t="s">
        <v>46</v>
      </c>
      <c r="E55" s="34" t="s">
        <v>46</v>
      </c>
      <c r="F55" s="35" t="n">
        <v>0.0</v>
      </c>
      <c r="G55" s="34" t="s">
        <v>77</v>
      </c>
      <c r="H55" s="34" t="s">
        <v>46</v>
      </c>
      <c r="I55" s="35"/>
      <c r="J55" s="35"/>
      <c r="K55" s="37"/>
    </row>
    <row r="56">
      <c r="A56" s="35" t="s">
        <v>46</v>
      </c>
      <c r="B56" s="34" t="s">
        <v>46</v>
      </c>
      <c r="C56" s="35" t="s">
        <v>46</v>
      </c>
      <c r="D56" s="35" t="s">
        <v>46</v>
      </c>
      <c r="E56" s="34" t="s">
        <v>46</v>
      </c>
      <c r="F56" s="35" t="n">
        <v>1.0</v>
      </c>
      <c r="G56" s="34" t="s">
        <v>78</v>
      </c>
      <c r="H56" s="34" t="s">
        <v>46</v>
      </c>
      <c r="I56" s="35"/>
      <c r="J56" s="35"/>
      <c r="K56" s="37"/>
    </row>
    <row r="57">
      <c r="A57" s="35" t="s">
        <v>46</v>
      </c>
      <c r="B57" s="34" t="s">
        <v>46</v>
      </c>
      <c r="C57" s="35" t="s">
        <v>46</v>
      </c>
      <c r="D57" s="35" t="s">
        <v>46</v>
      </c>
      <c r="E57" s="34" t="s">
        <v>46</v>
      </c>
      <c r="F57" s="35" t="n">
        <v>2.0</v>
      </c>
      <c r="G57" s="34" t="s">
        <v>79</v>
      </c>
      <c r="H57" s="34" t="s">
        <v>46</v>
      </c>
      <c r="I57" s="35"/>
      <c r="J57" s="35"/>
      <c r="K57" s="37"/>
    </row>
    <row r="58">
      <c r="A58" s="35" t="s">
        <v>46</v>
      </c>
      <c r="B58" s="34" t="s">
        <v>46</v>
      </c>
      <c r="C58" s="35" t="s">
        <v>46</v>
      </c>
      <c r="D58" s="35" t="s">
        <v>46</v>
      </c>
      <c r="E58" s="34" t="s">
        <v>46</v>
      </c>
      <c r="F58" s="35" t="n">
        <v>3.0</v>
      </c>
      <c r="G58" s="34" t="s">
        <v>80</v>
      </c>
      <c r="H58" s="34" t="s">
        <v>46</v>
      </c>
      <c r="I58" s="35"/>
      <c r="J58" s="35"/>
      <c r="K58" s="37"/>
    </row>
    <row r="59">
      <c r="A59" s="35" t="s">
        <v>81</v>
      </c>
      <c r="B59" s="34" t="s">
        <v>82</v>
      </c>
      <c r="C59" s="35" t="s">
        <v>47</v>
      </c>
      <c r="D59" s="34" t="s">
        <v>46</v>
      </c>
      <c r="E59" s="34" t="s">
        <v>46</v>
      </c>
      <c r="F59" s="34" t="s">
        <v>46</v>
      </c>
      <c r="G59" s="34" t="s">
        <v>46</v>
      </c>
      <c r="H59" s="34" t="s">
        <v>46</v>
      </c>
      <c r="I59" s="34" t="s">
        <v>46</v>
      </c>
      <c r="J59" s="34" t="s">
        <v>46</v>
      </c>
      <c r="K59" s="34" t="s">
        <v>46</v>
      </c>
    </row>
    <row r="60">
      <c r="A60" s="35" t="s">
        <v>46</v>
      </c>
      <c r="B60" s="34" t="s">
        <v>46</v>
      </c>
      <c r="C60" s="35" t="s">
        <v>46</v>
      </c>
      <c r="D60" s="35" t="s">
        <v>83</v>
      </c>
      <c r="E60" s="34" t="s">
        <v>84</v>
      </c>
      <c r="F60" s="35" t="s">
        <v>46</v>
      </c>
      <c r="G60" s="34" t="s">
        <v>85</v>
      </c>
      <c r="H60" s="34" t="s">
        <v>46</v>
      </c>
      <c r="I60" s="35" t="n">
        <v>5.0</v>
      </c>
      <c r="J60" s="35"/>
      <c r="K60" s="37" t="n">
        <v>1.0</v>
      </c>
    </row>
    <row r="61">
      <c r="A61" s="35" t="s">
        <v>46</v>
      </c>
      <c r="B61" s="34" t="s">
        <v>46</v>
      </c>
      <c r="C61" s="35" t="s">
        <v>46</v>
      </c>
      <c r="D61" s="35" t="s">
        <v>83</v>
      </c>
      <c r="E61" s="34" t="s">
        <v>86</v>
      </c>
      <c r="F61" s="35" t="s">
        <v>46</v>
      </c>
      <c r="G61" s="34" t="s">
        <v>87</v>
      </c>
      <c r="H61" s="34" t="s">
        <v>46</v>
      </c>
      <c r="I61" s="35" t="n">
        <v>1.0</v>
      </c>
      <c r="J61" s="35"/>
      <c r="K61" s="37" t="n">
        <v>0.5</v>
      </c>
    </row>
    <row r="62">
      <c r="A62" s="35" t="s">
        <v>46</v>
      </c>
      <c r="B62" s="34" t="s">
        <v>46</v>
      </c>
      <c r="C62" s="35" t="s">
        <v>46</v>
      </c>
      <c r="D62" s="35" t="s">
        <v>83</v>
      </c>
      <c r="E62" s="34" t="s">
        <v>88</v>
      </c>
      <c r="F62" s="35" t="s">
        <v>46</v>
      </c>
      <c r="G62" s="34" t="s">
        <v>89</v>
      </c>
      <c r="H62" s="34" t="s">
        <v>46</v>
      </c>
      <c r="I62" s="35" t="n">
        <v>3.0</v>
      </c>
      <c r="J62" s="35"/>
      <c r="K62" s="37" t="n">
        <v>1.0</v>
      </c>
    </row>
    <row r="63">
      <c r="A63" s="35" t="s">
        <v>46</v>
      </c>
      <c r="B63" s="34" t="s">
        <v>46</v>
      </c>
      <c r="C63" s="35" t="s">
        <v>46</v>
      </c>
      <c r="D63" s="35" t="s">
        <v>83</v>
      </c>
      <c r="E63" s="34" t="s">
        <v>90</v>
      </c>
      <c r="F63" s="35" t="s">
        <v>46</v>
      </c>
      <c r="G63" s="34" t="s">
        <v>91</v>
      </c>
      <c r="H63" s="34" t="s">
        <v>46</v>
      </c>
      <c r="I63" s="35" t="n">
        <v>5.0</v>
      </c>
      <c r="J63" s="35"/>
      <c r="K63" s="37" t="n">
        <v>0.5</v>
      </c>
    </row>
    <row r="64">
      <c r="A64" s="35" t="s">
        <v>46</v>
      </c>
      <c r="B64" s="34" t="s">
        <v>46</v>
      </c>
      <c r="C64" s="35" t="s">
        <v>46</v>
      </c>
      <c r="D64" s="35" t="s">
        <v>83</v>
      </c>
      <c r="E64" s="34" t="s">
        <v>92</v>
      </c>
      <c r="F64" s="35" t="s">
        <v>46</v>
      </c>
      <c r="G64" s="34" t="s">
        <v>93</v>
      </c>
      <c r="H64" s="34" t="s">
        <v>46</v>
      </c>
      <c r="I64" s="35" t="n">
        <v>5.0</v>
      </c>
      <c r="J64" s="35"/>
      <c r="K64" s="37" t="n">
        <v>1.0</v>
      </c>
    </row>
    <row r="65">
      <c r="A65" s="35" t="s">
        <v>94</v>
      </c>
      <c r="B65" s="34" t="s">
        <v>95</v>
      </c>
      <c r="C65" s="35" t="s">
        <v>47</v>
      </c>
      <c r="D65" s="34" t="s">
        <v>46</v>
      </c>
      <c r="E65" s="34" t="s">
        <v>46</v>
      </c>
      <c r="F65" s="34" t="s">
        <v>46</v>
      </c>
      <c r="G65" s="34" t="s">
        <v>46</v>
      </c>
      <c r="H65" s="34" t="s">
        <v>46</v>
      </c>
      <c r="I65" s="34" t="s">
        <v>46</v>
      </c>
      <c r="J65" s="34" t="s">
        <v>46</v>
      </c>
      <c r="K65" s="34" t="s">
        <v>46</v>
      </c>
    </row>
    <row r="66">
      <c r="A66" s="35" t="s">
        <v>46</v>
      </c>
      <c r="B66" s="34" t="s">
        <v>46</v>
      </c>
      <c r="C66" s="35" t="s">
        <v>46</v>
      </c>
      <c r="D66" s="35" t="s">
        <v>83</v>
      </c>
      <c r="E66" s="34" t="s">
        <v>96</v>
      </c>
      <c r="F66" s="35" t="s">
        <v>46</v>
      </c>
      <c r="G66" s="34" t="s">
        <v>97</v>
      </c>
      <c r="H66" s="34" t="s">
        <v>46</v>
      </c>
      <c r="I66" s="35" t="n">
        <v>5.0</v>
      </c>
      <c r="J66" s="35"/>
      <c r="K66" s="37" t="n">
        <v>1.0</v>
      </c>
    </row>
    <row r="67">
      <c r="A67" s="35" t="s">
        <v>46</v>
      </c>
      <c r="B67" s="34" t="s">
        <v>46</v>
      </c>
      <c r="C67" s="35" t="s">
        <v>46</v>
      </c>
      <c r="D67" s="35" t="s">
        <v>83</v>
      </c>
      <c r="E67" s="34" t="s">
        <v>98</v>
      </c>
      <c r="F67" s="35" t="s">
        <v>46</v>
      </c>
      <c r="G67" s="34" t="s">
        <v>99</v>
      </c>
      <c r="H67" s="34" t="s">
        <v>46</v>
      </c>
      <c r="I67" s="35" t="n">
        <v>5.0</v>
      </c>
      <c r="J67" s="35"/>
      <c r="K67" s="37" t="n">
        <v>0.5</v>
      </c>
    </row>
    <row r="68">
      <c r="A68" s="35" t="s">
        <v>46</v>
      </c>
      <c r="B68" s="34" t="s">
        <v>46</v>
      </c>
      <c r="C68" s="35" t="s">
        <v>46</v>
      </c>
      <c r="D68" s="35" t="s">
        <v>83</v>
      </c>
      <c r="E68" s="34" t="s">
        <v>100</v>
      </c>
      <c r="F68" s="35" t="s">
        <v>46</v>
      </c>
      <c r="G68" s="34" t="s">
        <v>101</v>
      </c>
      <c r="H68" s="34" t="s">
        <v>46</v>
      </c>
      <c r="I68" s="35" t="n">
        <v>5.0</v>
      </c>
      <c r="J68" s="35"/>
      <c r="K68" s="37" t="n">
        <v>0.5</v>
      </c>
    </row>
    <row r="69">
      <c r="A69" s="35" t="s">
        <v>46</v>
      </c>
      <c r="B69" s="34" t="s">
        <v>46</v>
      </c>
      <c r="C69" s="35" t="s">
        <v>46</v>
      </c>
      <c r="D69" s="35" t="s">
        <v>48</v>
      </c>
      <c r="E69" s="34" t="s">
        <v>102</v>
      </c>
      <c r="F69" s="35" t="s">
        <v>46</v>
      </c>
      <c r="G69" s="34" t="s">
        <v>46</v>
      </c>
      <c r="H69" s="34" t="s">
        <v>46</v>
      </c>
      <c r="I69" s="35" t="n">
        <v>3.0</v>
      </c>
      <c r="J69" s="35"/>
      <c r="K69" s="37" t="n">
        <v>1.5</v>
      </c>
    </row>
    <row r="70">
      <c r="A70" s="35" t="s">
        <v>46</v>
      </c>
      <c r="B70" s="34" t="s">
        <v>46</v>
      </c>
      <c r="C70" s="35" t="s">
        <v>46</v>
      </c>
      <c r="D70" s="35" t="s">
        <v>46</v>
      </c>
      <c r="E70" s="34" t="s">
        <v>46</v>
      </c>
      <c r="F70" s="35" t="n">
        <v>0.0</v>
      </c>
      <c r="G70" s="34" t="s">
        <v>103</v>
      </c>
      <c r="H70" s="34" t="s">
        <v>46</v>
      </c>
      <c r="I70" s="35"/>
      <c r="J70" s="35"/>
      <c r="K70" s="37"/>
    </row>
    <row r="71">
      <c r="A71" s="35" t="s">
        <v>46</v>
      </c>
      <c r="B71" s="34" t="s">
        <v>46</v>
      </c>
      <c r="C71" s="35" t="s">
        <v>46</v>
      </c>
      <c r="D71" s="35" t="s">
        <v>46</v>
      </c>
      <c r="E71" s="34" t="s">
        <v>46</v>
      </c>
      <c r="F71" s="35" t="n">
        <v>1.0</v>
      </c>
      <c r="G71" s="34" t="s">
        <v>104</v>
      </c>
      <c r="H71" s="34" t="s">
        <v>46</v>
      </c>
      <c r="I71" s="35"/>
      <c r="J71" s="35"/>
      <c r="K71" s="37"/>
    </row>
    <row r="72">
      <c r="A72" s="35" t="s">
        <v>46</v>
      </c>
      <c r="B72" s="34" t="s">
        <v>46</v>
      </c>
      <c r="C72" s="35" t="s">
        <v>46</v>
      </c>
      <c r="D72" s="35" t="s">
        <v>46</v>
      </c>
      <c r="E72" s="34" t="s">
        <v>46</v>
      </c>
      <c r="F72" s="35" t="n">
        <v>2.0</v>
      </c>
      <c r="G72" s="34" t="s">
        <v>105</v>
      </c>
      <c r="H72" s="34" t="s">
        <v>46</v>
      </c>
      <c r="I72" s="35"/>
      <c r="J72" s="35"/>
      <c r="K72" s="37"/>
    </row>
    <row r="73">
      <c r="A73" s="35" t="s">
        <v>46</v>
      </c>
      <c r="B73" s="34" t="s">
        <v>46</v>
      </c>
      <c r="C73" s="35" t="s">
        <v>46</v>
      </c>
      <c r="D73" s="35" t="s">
        <v>46</v>
      </c>
      <c r="E73" s="34" t="s">
        <v>46</v>
      </c>
      <c r="F73" s="35" t="n">
        <v>3.0</v>
      </c>
      <c r="G73" s="34" t="s">
        <v>58</v>
      </c>
      <c r="H73" s="34" t="s">
        <v>46</v>
      </c>
      <c r="I73" s="35"/>
      <c r="J73" s="35"/>
      <c r="K73" s="37"/>
    </row>
    <row r="74">
      <c r="A74" s="35" t="s">
        <v>106</v>
      </c>
      <c r="B74" s="34" t="s">
        <v>107</v>
      </c>
      <c r="C74" s="35" t="s">
        <v>47</v>
      </c>
      <c r="D74" s="34" t="s">
        <v>46</v>
      </c>
      <c r="E74" s="34" t="s">
        <v>46</v>
      </c>
      <c r="F74" s="34" t="s">
        <v>46</v>
      </c>
      <c r="G74" s="34" t="s">
        <v>46</v>
      </c>
      <c r="H74" s="34" t="s">
        <v>46</v>
      </c>
      <c r="I74" s="34" t="s">
        <v>46</v>
      </c>
      <c r="J74" s="34" t="s">
        <v>46</v>
      </c>
      <c r="K74" s="34" t="s">
        <v>46</v>
      </c>
    </row>
    <row r="75">
      <c r="A75" s="35" t="s">
        <v>46</v>
      </c>
      <c r="B75" s="34" t="s">
        <v>46</v>
      </c>
      <c r="C75" s="35" t="s">
        <v>46</v>
      </c>
      <c r="D75" s="35" t="s">
        <v>83</v>
      </c>
      <c r="E75" s="34" t="s">
        <v>108</v>
      </c>
      <c r="F75" s="35" t="s">
        <v>46</v>
      </c>
      <c r="G75" s="34" t="s">
        <v>109</v>
      </c>
      <c r="H75" s="34" t="s">
        <v>46</v>
      </c>
      <c r="I75" s="35" t="n">
        <v>5.0</v>
      </c>
      <c r="J75" s="35"/>
      <c r="K75" s="37" t="n">
        <v>0.75</v>
      </c>
    </row>
    <row r="76">
      <c r="A76" s="35" t="s">
        <v>46</v>
      </c>
      <c r="B76" s="34" t="s">
        <v>46</v>
      </c>
      <c r="C76" s="35" t="s">
        <v>46</v>
      </c>
      <c r="D76" s="35" t="s">
        <v>83</v>
      </c>
      <c r="E76" s="34" t="s">
        <v>110</v>
      </c>
      <c r="F76" s="35" t="s">
        <v>46</v>
      </c>
      <c r="G76" s="34" t="s">
        <v>111</v>
      </c>
      <c r="H76" s="34" t="s">
        <v>46</v>
      </c>
      <c r="I76" s="35" t="n">
        <v>1.0</v>
      </c>
      <c r="J76" s="35"/>
      <c r="K76" s="37" t="n">
        <v>0.25</v>
      </c>
    </row>
    <row r="77">
      <c r="A77" s="35" t="s">
        <v>46</v>
      </c>
      <c r="B77" s="34" t="s">
        <v>46</v>
      </c>
      <c r="C77" s="35" t="s">
        <v>46</v>
      </c>
      <c r="D77" s="35" t="s">
        <v>83</v>
      </c>
      <c r="E77" s="34" t="s">
        <v>112</v>
      </c>
      <c r="F77" s="35" t="s">
        <v>46</v>
      </c>
      <c r="G77" s="34" t="s">
        <v>113</v>
      </c>
      <c r="H77" s="34" t="s">
        <v>46</v>
      </c>
      <c r="I77" s="35" t="n">
        <v>5.0</v>
      </c>
      <c r="J77" s="35"/>
      <c r="K77" s="37" t="n">
        <v>0.75</v>
      </c>
    </row>
    <row r="78">
      <c r="A78" s="35" t="s">
        <v>46</v>
      </c>
      <c r="B78" s="34" t="s">
        <v>46</v>
      </c>
      <c r="C78" s="35" t="s">
        <v>46</v>
      </c>
      <c r="D78" s="35" t="s">
        <v>83</v>
      </c>
      <c r="E78" s="34" t="s">
        <v>114</v>
      </c>
      <c r="F78" s="35" t="s">
        <v>46</v>
      </c>
      <c r="G78" s="34" t="s">
        <v>115</v>
      </c>
      <c r="H78" s="34" t="s">
        <v>46</v>
      </c>
      <c r="I78" s="35" t="n">
        <v>5.0</v>
      </c>
      <c r="J78" s="35"/>
      <c r="K78" s="37" t="n">
        <v>1.5</v>
      </c>
    </row>
    <row r="79">
      <c r="A79" s="35" t="s">
        <v>116</v>
      </c>
      <c r="B79" s="34" t="s">
        <v>117</v>
      </c>
      <c r="C79" s="35" t="s">
        <v>47</v>
      </c>
      <c r="D79" s="34" t="s">
        <v>46</v>
      </c>
      <c r="E79" s="34" t="s">
        <v>46</v>
      </c>
      <c r="F79" s="34" t="s">
        <v>46</v>
      </c>
      <c r="G79" s="34" t="s">
        <v>46</v>
      </c>
      <c r="H79" s="34" t="s">
        <v>46</v>
      </c>
      <c r="I79" s="34" t="s">
        <v>46</v>
      </c>
      <c r="J79" s="34" t="s">
        <v>46</v>
      </c>
      <c r="K79" s="34" t="s">
        <v>46</v>
      </c>
    </row>
    <row r="80">
      <c r="A80" s="35" t="s">
        <v>46</v>
      </c>
      <c r="B80" s="34" t="s">
        <v>46</v>
      </c>
      <c r="C80" s="35" t="s">
        <v>46</v>
      </c>
      <c r="D80" s="35" t="s">
        <v>83</v>
      </c>
      <c r="E80" s="34" t="s">
        <v>118</v>
      </c>
      <c r="F80" s="35" t="s">
        <v>46</v>
      </c>
      <c r="G80" s="34" t="s">
        <v>119</v>
      </c>
      <c r="H80" s="34" t="s">
        <v>46</v>
      </c>
      <c r="I80" s="35" t="n">
        <v>5.0</v>
      </c>
      <c r="J80" s="35"/>
      <c r="K80" s="37" t="n">
        <v>0.75</v>
      </c>
    </row>
    <row r="81">
      <c r="A81" s="35" t="s">
        <v>46</v>
      </c>
      <c r="B81" s="34" t="s">
        <v>46</v>
      </c>
      <c r="C81" s="35" t="s">
        <v>46</v>
      </c>
      <c r="D81" s="35" t="s">
        <v>83</v>
      </c>
      <c r="E81" s="34" t="s">
        <v>120</v>
      </c>
      <c r="F81" s="35" t="s">
        <v>46</v>
      </c>
      <c r="G81" s="34" t="s">
        <v>121</v>
      </c>
      <c r="H81" s="34" t="s">
        <v>46</v>
      </c>
      <c r="I81" s="35" t="n">
        <v>5.0</v>
      </c>
      <c r="J81" s="35"/>
      <c r="K81" s="37" t="n">
        <v>0.25</v>
      </c>
    </row>
    <row r="82">
      <c r="A82" s="35" t="s">
        <v>46</v>
      </c>
      <c r="B82" s="34" t="s">
        <v>46</v>
      </c>
      <c r="C82" s="35" t="s">
        <v>46</v>
      </c>
      <c r="D82" s="35" t="s">
        <v>83</v>
      </c>
      <c r="E82" s="34" t="s">
        <v>122</v>
      </c>
      <c r="F82" s="35" t="s">
        <v>46</v>
      </c>
      <c r="G82" s="34" t="s">
        <v>123</v>
      </c>
      <c r="H82" s="34" t="s">
        <v>46</v>
      </c>
      <c r="I82" s="35" t="n">
        <v>1.0</v>
      </c>
      <c r="J82" s="35"/>
      <c r="K82" s="37" t="n">
        <v>0.75</v>
      </c>
    </row>
    <row r="83">
      <c r="A83" s="35" t="s">
        <v>46</v>
      </c>
      <c r="B83" s="34" t="s">
        <v>46</v>
      </c>
      <c r="C83" s="35" t="s">
        <v>46</v>
      </c>
      <c r="D83" s="35" t="s">
        <v>83</v>
      </c>
      <c r="E83" s="34" t="s">
        <v>124</v>
      </c>
      <c r="F83" s="35" t="s">
        <v>46</v>
      </c>
      <c r="G83" s="34" t="s">
        <v>125</v>
      </c>
      <c r="H83" s="34" t="s">
        <v>46</v>
      </c>
      <c r="I83" s="35" t="n">
        <v>1.0</v>
      </c>
      <c r="J83" s="35"/>
      <c r="K83" s="37" t="n">
        <v>0.5</v>
      </c>
    </row>
    <row r="84">
      <c r="A84" s="35" t="s">
        <v>46</v>
      </c>
      <c r="B84" s="34" t="s">
        <v>46</v>
      </c>
      <c r="C84" s="35" t="s">
        <v>46</v>
      </c>
      <c r="D84" s="35" t="s">
        <v>83</v>
      </c>
      <c r="E84" s="34" t="s">
        <v>126</v>
      </c>
      <c r="F84" s="35" t="s">
        <v>46</v>
      </c>
      <c r="G84" s="34" t="s">
        <v>127</v>
      </c>
      <c r="H84" s="34" t="s">
        <v>46</v>
      </c>
      <c r="I84" s="35" t="n">
        <v>5.0</v>
      </c>
      <c r="J84" s="35"/>
      <c r="K84" s="37" t="n">
        <v>0.75</v>
      </c>
    </row>
    <row r="85">
      <c r="A85" s="35" t="s">
        <v>46</v>
      </c>
      <c r="B85" s="34" t="s">
        <v>46</v>
      </c>
      <c r="C85" s="35" t="s">
        <v>46</v>
      </c>
      <c r="D85" s="35" t="s">
        <v>83</v>
      </c>
      <c r="E85" s="34" t="s">
        <v>122</v>
      </c>
      <c r="F85" s="35" t="s">
        <v>46</v>
      </c>
      <c r="G85" s="34" t="s">
        <v>128</v>
      </c>
      <c r="H85" s="34" t="s">
        <v>46</v>
      </c>
      <c r="I85" s="35" t="n">
        <v>1.0</v>
      </c>
      <c r="J85" s="35"/>
      <c r="K85" s="37" t="n">
        <v>0.25</v>
      </c>
    </row>
    <row r="86">
      <c r="A86" s="35" t="s">
        <v>46</v>
      </c>
      <c r="B86" s="34" t="s">
        <v>46</v>
      </c>
      <c r="C86" s="35" t="s">
        <v>46</v>
      </c>
      <c r="D86" s="35" t="s">
        <v>46</v>
      </c>
      <c r="E86" s="34" t="s">
        <v>46</v>
      </c>
      <c r="F86" s="35" t="s">
        <v>46</v>
      </c>
      <c r="G86" s="34" t="s">
        <v>46</v>
      </c>
      <c r="H86" s="34" t="s">
        <v>46</v>
      </c>
      <c r="I86" s="35"/>
      <c r="J86" s="35"/>
      <c r="K86" s="37"/>
    </row>
    <row r="87">
      <c r="A87" s="35" t="s">
        <v>46</v>
      </c>
      <c r="B87" s="34" t="s">
        <v>46</v>
      </c>
      <c r="C87" s="35" t="s">
        <v>46</v>
      </c>
      <c r="D87" s="35" t="s">
        <v>46</v>
      </c>
      <c r="E87" s="34" t="s">
        <v>46</v>
      </c>
      <c r="F87" s="35" t="s">
        <v>46</v>
      </c>
      <c r="G87" s="34" t="s">
        <v>46</v>
      </c>
      <c r="H87" s="34" t="s">
        <v>46</v>
      </c>
      <c r="I87" s="35"/>
      <c r="J87" s="35"/>
      <c r="K87" s="37"/>
    </row>
    <row r="88">
      <c r="A88" s="44" t="s">
        <v>15</v>
      </c>
      <c r="B88" s="45" t="s">
        <v>16</v>
      </c>
      <c r="C88" s="46" t="s">
        <v>10</v>
      </c>
      <c r="D88" s="47" t="s">
        <v>6</v>
      </c>
      <c r="E88" s="48" t="s">
        <v>1</v>
      </c>
      <c r="F88" s="49" t="s">
        <v>2</v>
      </c>
      <c r="G88" s="50" t="s">
        <v>8</v>
      </c>
      <c r="H88" s="51" t="s">
        <v>9</v>
      </c>
      <c r="I88" s="52" t="s">
        <v>23</v>
      </c>
      <c r="J88" s="53" t="s">
        <v>11</v>
      </c>
      <c r="K88" s="54" t="s">
        <v>3</v>
      </c>
      <c r="L88" s="55" t="s">
        <v>129</v>
      </c>
      <c r="M88" s="56" t="s">
        <v>4</v>
      </c>
      <c r="N88" s="57">
        <f>SUM(K89:K152)</f>
      </c>
    </row>
    <row r="89">
      <c r="A89" s="35" t="s">
        <v>130</v>
      </c>
      <c r="B89" s="34" t="s">
        <v>131</v>
      </c>
      <c r="C89" s="35" t="s">
        <v>132</v>
      </c>
      <c r="D89" s="34" t="s">
        <v>46</v>
      </c>
      <c r="E89" s="34" t="s">
        <v>46</v>
      </c>
      <c r="F89" s="34" t="s">
        <v>46</v>
      </c>
      <c r="G89" s="34" t="s">
        <v>46</v>
      </c>
      <c r="H89" s="34" t="s">
        <v>46</v>
      </c>
      <c r="I89" s="34" t="s">
        <v>46</v>
      </c>
      <c r="J89" s="34" t="s">
        <v>46</v>
      </c>
      <c r="K89" s="34" t="s">
        <v>46</v>
      </c>
    </row>
    <row r="90">
      <c r="A90" s="35" t="s">
        <v>46</v>
      </c>
      <c r="B90" s="34" t="s">
        <v>46</v>
      </c>
      <c r="C90" s="35" t="s">
        <v>46</v>
      </c>
      <c r="D90" s="35" t="s">
        <v>48</v>
      </c>
      <c r="E90" s="34" t="s">
        <v>133</v>
      </c>
      <c r="F90" s="35" t="s">
        <v>46</v>
      </c>
      <c r="G90" s="34" t="s">
        <v>46</v>
      </c>
      <c r="H90" s="34" t="s">
        <v>46</v>
      </c>
      <c r="I90" s="35" t="n">
        <v>4.0</v>
      </c>
      <c r="J90" s="35"/>
      <c r="K90" s="37" t="n">
        <v>1.5</v>
      </c>
    </row>
    <row r="91">
      <c r="A91" s="35" t="s">
        <v>46</v>
      </c>
      <c r="B91" s="34" t="s">
        <v>46</v>
      </c>
      <c r="C91" s="35" t="s">
        <v>46</v>
      </c>
      <c r="D91" s="35" t="s">
        <v>46</v>
      </c>
      <c r="E91" s="34" t="s">
        <v>46</v>
      </c>
      <c r="F91" s="35" t="n">
        <v>0.0</v>
      </c>
      <c r="G91" s="34" t="s">
        <v>134</v>
      </c>
      <c r="H91" s="34" t="s">
        <v>46</v>
      </c>
      <c r="I91" s="35"/>
      <c r="J91" s="35"/>
      <c r="K91" s="37"/>
    </row>
    <row r="92">
      <c r="A92" s="35" t="s">
        <v>46</v>
      </c>
      <c r="B92" s="34" t="s">
        <v>46</v>
      </c>
      <c r="C92" s="35" t="s">
        <v>46</v>
      </c>
      <c r="D92" s="35" t="s">
        <v>46</v>
      </c>
      <c r="E92" s="34" t="s">
        <v>46</v>
      </c>
      <c r="F92" s="35" t="n">
        <v>1.0</v>
      </c>
      <c r="G92" s="34" t="s">
        <v>135</v>
      </c>
      <c r="H92" s="34" t="s">
        <v>46</v>
      </c>
      <c r="I92" s="35"/>
      <c r="J92" s="35"/>
      <c r="K92" s="37"/>
    </row>
    <row r="93">
      <c r="A93" s="35" t="s">
        <v>46</v>
      </c>
      <c r="B93" s="34" t="s">
        <v>46</v>
      </c>
      <c r="C93" s="35" t="s">
        <v>46</v>
      </c>
      <c r="D93" s="35" t="s">
        <v>46</v>
      </c>
      <c r="E93" s="34" t="s">
        <v>46</v>
      </c>
      <c r="F93" s="35" t="n">
        <v>2.0</v>
      </c>
      <c r="G93" s="34" t="s">
        <v>136</v>
      </c>
      <c r="H93" s="34" t="s">
        <v>46</v>
      </c>
      <c r="I93" s="35"/>
      <c r="J93" s="35"/>
      <c r="K93" s="37"/>
    </row>
    <row r="94">
      <c r="A94" s="35" t="s">
        <v>46</v>
      </c>
      <c r="B94" s="34" t="s">
        <v>46</v>
      </c>
      <c r="C94" s="35" t="s">
        <v>46</v>
      </c>
      <c r="D94" s="35" t="s">
        <v>46</v>
      </c>
      <c r="E94" s="34" t="s">
        <v>46</v>
      </c>
      <c r="F94" s="35" t="n">
        <v>3.0</v>
      </c>
      <c r="G94" s="34" t="s">
        <v>137</v>
      </c>
      <c r="H94" s="34" t="s">
        <v>46</v>
      </c>
      <c r="I94" s="35"/>
      <c r="J94" s="35"/>
      <c r="K94" s="37"/>
    </row>
    <row r="95">
      <c r="A95" s="35" t="s">
        <v>46</v>
      </c>
      <c r="B95" s="34" t="s">
        <v>46</v>
      </c>
      <c r="C95" s="35" t="s">
        <v>46</v>
      </c>
      <c r="D95" s="35" t="s">
        <v>48</v>
      </c>
      <c r="E95" s="34" t="s">
        <v>138</v>
      </c>
      <c r="F95" s="35" t="s">
        <v>46</v>
      </c>
      <c r="G95" s="34" t="s">
        <v>46</v>
      </c>
      <c r="H95" s="34" t="s">
        <v>46</v>
      </c>
      <c r="I95" s="35" t="n">
        <v>4.0</v>
      </c>
      <c r="J95" s="35"/>
      <c r="K95" s="37" t="n">
        <v>1.75</v>
      </c>
    </row>
    <row r="96">
      <c r="A96" s="35" t="s">
        <v>46</v>
      </c>
      <c r="B96" s="34" t="s">
        <v>46</v>
      </c>
      <c r="C96" s="35" t="s">
        <v>46</v>
      </c>
      <c r="D96" s="35" t="s">
        <v>46</v>
      </c>
      <c r="E96" s="34" t="s">
        <v>46</v>
      </c>
      <c r="F96" s="35" t="n">
        <v>0.0</v>
      </c>
      <c r="G96" s="34" t="s">
        <v>139</v>
      </c>
      <c r="H96" s="34" t="s">
        <v>46</v>
      </c>
      <c r="I96" s="35"/>
      <c r="J96" s="35"/>
      <c r="K96" s="37"/>
    </row>
    <row r="97">
      <c r="A97" s="35" t="s">
        <v>46</v>
      </c>
      <c r="B97" s="34" t="s">
        <v>46</v>
      </c>
      <c r="C97" s="35" t="s">
        <v>46</v>
      </c>
      <c r="D97" s="35" t="s">
        <v>46</v>
      </c>
      <c r="E97" s="34" t="s">
        <v>46</v>
      </c>
      <c r="F97" s="35" t="n">
        <v>1.0</v>
      </c>
      <c r="G97" s="34" t="s">
        <v>140</v>
      </c>
      <c r="H97" s="34" t="s">
        <v>46</v>
      </c>
      <c r="I97" s="35"/>
      <c r="J97" s="35"/>
      <c r="K97" s="37"/>
    </row>
    <row r="98">
      <c r="A98" s="35" t="s">
        <v>46</v>
      </c>
      <c r="B98" s="34" t="s">
        <v>46</v>
      </c>
      <c r="C98" s="35" t="s">
        <v>46</v>
      </c>
      <c r="D98" s="35" t="s">
        <v>46</v>
      </c>
      <c r="E98" s="34" t="s">
        <v>46</v>
      </c>
      <c r="F98" s="35" t="n">
        <v>2.0</v>
      </c>
      <c r="G98" s="34" t="s">
        <v>141</v>
      </c>
      <c r="H98" s="34" t="s">
        <v>46</v>
      </c>
      <c r="I98" s="35"/>
      <c r="J98" s="35"/>
      <c r="K98" s="37"/>
    </row>
    <row r="99">
      <c r="A99" s="35" t="s">
        <v>46</v>
      </c>
      <c r="B99" s="34" t="s">
        <v>46</v>
      </c>
      <c r="C99" s="35" t="s">
        <v>46</v>
      </c>
      <c r="D99" s="35" t="s">
        <v>46</v>
      </c>
      <c r="E99" s="34" t="s">
        <v>46</v>
      </c>
      <c r="F99" s="35" t="n">
        <v>3.0</v>
      </c>
      <c r="G99" s="34" t="s">
        <v>142</v>
      </c>
      <c r="H99" s="34" t="s">
        <v>46</v>
      </c>
      <c r="I99" s="35"/>
      <c r="J99" s="35"/>
      <c r="K99" s="37"/>
    </row>
    <row r="100">
      <c r="A100" s="35" t="s">
        <v>46</v>
      </c>
      <c r="B100" s="34" t="s">
        <v>46</v>
      </c>
      <c r="C100" s="35" t="s">
        <v>46</v>
      </c>
      <c r="D100" s="35" t="s">
        <v>48</v>
      </c>
      <c r="E100" s="34" t="s">
        <v>143</v>
      </c>
      <c r="F100" s="35" t="s">
        <v>46</v>
      </c>
      <c r="G100" s="34" t="s">
        <v>46</v>
      </c>
      <c r="H100" s="34" t="s">
        <v>46</v>
      </c>
      <c r="I100" s="35" t="n">
        <v>2.0</v>
      </c>
      <c r="J100" s="35"/>
      <c r="K100" s="37" t="n">
        <v>1.0</v>
      </c>
    </row>
    <row r="101">
      <c r="A101" s="35" t="s">
        <v>46</v>
      </c>
      <c r="B101" s="34" t="s">
        <v>46</v>
      </c>
      <c r="C101" s="35" t="s">
        <v>46</v>
      </c>
      <c r="D101" s="35" t="s">
        <v>46</v>
      </c>
      <c r="E101" s="34" t="s">
        <v>46</v>
      </c>
      <c r="F101" s="35" t="n">
        <v>0.0</v>
      </c>
      <c r="G101" s="34" t="s">
        <v>144</v>
      </c>
      <c r="H101" s="34" t="s">
        <v>46</v>
      </c>
      <c r="I101" s="35"/>
      <c r="J101" s="35"/>
      <c r="K101" s="37"/>
    </row>
    <row r="102">
      <c r="A102" s="35" t="s">
        <v>46</v>
      </c>
      <c r="B102" s="34" t="s">
        <v>46</v>
      </c>
      <c r="C102" s="35" t="s">
        <v>46</v>
      </c>
      <c r="D102" s="35" t="s">
        <v>46</v>
      </c>
      <c r="E102" s="34" t="s">
        <v>46</v>
      </c>
      <c r="F102" s="35" t="n">
        <v>1.0</v>
      </c>
      <c r="G102" s="34" t="s">
        <v>145</v>
      </c>
      <c r="H102" s="34" t="s">
        <v>46</v>
      </c>
      <c r="I102" s="35"/>
      <c r="J102" s="35"/>
      <c r="K102" s="37"/>
    </row>
    <row r="103">
      <c r="A103" s="35" t="s">
        <v>46</v>
      </c>
      <c r="B103" s="34" t="s">
        <v>46</v>
      </c>
      <c r="C103" s="35" t="s">
        <v>46</v>
      </c>
      <c r="D103" s="35" t="s">
        <v>46</v>
      </c>
      <c r="E103" s="34" t="s">
        <v>46</v>
      </c>
      <c r="F103" s="35" t="n">
        <v>2.0</v>
      </c>
      <c r="G103" s="34" t="s">
        <v>146</v>
      </c>
      <c r="H103" s="34" t="s">
        <v>46</v>
      </c>
      <c r="I103" s="35"/>
      <c r="J103" s="35"/>
      <c r="K103" s="37"/>
    </row>
    <row r="104">
      <c r="A104" s="35" t="s">
        <v>46</v>
      </c>
      <c r="B104" s="34" t="s">
        <v>46</v>
      </c>
      <c r="C104" s="35" t="s">
        <v>46</v>
      </c>
      <c r="D104" s="35" t="s">
        <v>46</v>
      </c>
      <c r="E104" s="34" t="s">
        <v>46</v>
      </c>
      <c r="F104" s="35" t="n">
        <v>3.0</v>
      </c>
      <c r="G104" s="34" t="s">
        <v>147</v>
      </c>
      <c r="H104" s="34" t="s">
        <v>46</v>
      </c>
      <c r="I104" s="35"/>
      <c r="J104" s="35"/>
      <c r="K104" s="37"/>
    </row>
    <row r="105">
      <c r="A105" s="35" t="s">
        <v>148</v>
      </c>
      <c r="B105" s="34" t="s">
        <v>149</v>
      </c>
      <c r="C105" s="35" t="s">
        <v>132</v>
      </c>
      <c r="D105" s="34" t="s">
        <v>46</v>
      </c>
      <c r="E105" s="34" t="s">
        <v>46</v>
      </c>
      <c r="F105" s="34" t="s">
        <v>46</v>
      </c>
      <c r="G105" s="34" t="s">
        <v>46</v>
      </c>
      <c r="H105" s="34" t="s">
        <v>46</v>
      </c>
      <c r="I105" s="34" t="s">
        <v>46</v>
      </c>
      <c r="J105" s="34" t="s">
        <v>46</v>
      </c>
      <c r="K105" s="34" t="s">
        <v>46</v>
      </c>
    </row>
    <row r="106">
      <c r="A106" s="35" t="s">
        <v>46</v>
      </c>
      <c r="B106" s="34" t="s">
        <v>46</v>
      </c>
      <c r="C106" s="35" t="s">
        <v>46</v>
      </c>
      <c r="D106" s="35" t="s">
        <v>48</v>
      </c>
      <c r="E106" s="34" t="s">
        <v>150</v>
      </c>
      <c r="F106" s="35" t="s">
        <v>46</v>
      </c>
      <c r="G106" s="34" t="s">
        <v>46</v>
      </c>
      <c r="H106" s="34" t="s">
        <v>46</v>
      </c>
      <c r="I106" s="35" t="n">
        <v>4.0</v>
      </c>
      <c r="J106" s="35"/>
      <c r="K106" s="37" t="n">
        <v>2.0</v>
      </c>
    </row>
    <row r="107">
      <c r="A107" s="35" t="s">
        <v>46</v>
      </c>
      <c r="B107" s="34" t="s">
        <v>46</v>
      </c>
      <c r="C107" s="35" t="s">
        <v>46</v>
      </c>
      <c r="D107" s="35" t="s">
        <v>46</v>
      </c>
      <c r="E107" s="34" t="s">
        <v>46</v>
      </c>
      <c r="F107" s="35" t="n">
        <v>0.0</v>
      </c>
      <c r="G107" s="34" t="s">
        <v>151</v>
      </c>
      <c r="H107" s="34" t="s">
        <v>46</v>
      </c>
      <c r="I107" s="35"/>
      <c r="J107" s="35"/>
      <c r="K107" s="37"/>
    </row>
    <row r="108">
      <c r="A108" s="35" t="s">
        <v>46</v>
      </c>
      <c r="B108" s="34" t="s">
        <v>46</v>
      </c>
      <c r="C108" s="35" t="s">
        <v>46</v>
      </c>
      <c r="D108" s="35" t="s">
        <v>46</v>
      </c>
      <c r="E108" s="34" t="s">
        <v>46</v>
      </c>
      <c r="F108" s="35" t="n">
        <v>1.0</v>
      </c>
      <c r="G108" s="34" t="s">
        <v>152</v>
      </c>
      <c r="H108" s="34" t="s">
        <v>46</v>
      </c>
      <c r="I108" s="35"/>
      <c r="J108" s="35"/>
      <c r="K108" s="37"/>
    </row>
    <row r="109">
      <c r="A109" s="35" t="s">
        <v>46</v>
      </c>
      <c r="B109" s="34" t="s">
        <v>46</v>
      </c>
      <c r="C109" s="35" t="s">
        <v>46</v>
      </c>
      <c r="D109" s="35" t="s">
        <v>46</v>
      </c>
      <c r="E109" s="34" t="s">
        <v>46</v>
      </c>
      <c r="F109" s="35" t="n">
        <v>2.0</v>
      </c>
      <c r="G109" s="34" t="s">
        <v>153</v>
      </c>
      <c r="H109" s="34" t="s">
        <v>46</v>
      </c>
      <c r="I109" s="35"/>
      <c r="J109" s="35"/>
      <c r="K109" s="37"/>
    </row>
    <row r="110">
      <c r="A110" s="35" t="s">
        <v>46</v>
      </c>
      <c r="B110" s="34" t="s">
        <v>46</v>
      </c>
      <c r="C110" s="35" t="s">
        <v>46</v>
      </c>
      <c r="D110" s="35" t="s">
        <v>46</v>
      </c>
      <c r="E110" s="34" t="s">
        <v>46</v>
      </c>
      <c r="F110" s="35" t="n">
        <v>3.0</v>
      </c>
      <c r="G110" s="34" t="s">
        <v>154</v>
      </c>
      <c r="H110" s="34" t="s">
        <v>46</v>
      </c>
      <c r="I110" s="35"/>
      <c r="J110" s="35"/>
      <c r="K110" s="37"/>
    </row>
    <row r="111">
      <c r="A111" s="35" t="s">
        <v>46</v>
      </c>
      <c r="B111" s="34" t="s">
        <v>46</v>
      </c>
      <c r="C111" s="35" t="s">
        <v>46</v>
      </c>
      <c r="D111" s="35" t="s">
        <v>48</v>
      </c>
      <c r="E111" s="34" t="s">
        <v>155</v>
      </c>
      <c r="F111" s="35" t="s">
        <v>46</v>
      </c>
      <c r="G111" s="34" t="s">
        <v>46</v>
      </c>
      <c r="H111" s="34" t="s">
        <v>46</v>
      </c>
      <c r="I111" s="35" t="n">
        <v>4.0</v>
      </c>
      <c r="J111" s="35"/>
      <c r="K111" s="37" t="n">
        <v>2.0</v>
      </c>
    </row>
    <row r="112">
      <c r="A112" s="35" t="s">
        <v>46</v>
      </c>
      <c r="B112" s="34" t="s">
        <v>46</v>
      </c>
      <c r="C112" s="35" t="s">
        <v>46</v>
      </c>
      <c r="D112" s="35" t="s">
        <v>46</v>
      </c>
      <c r="E112" s="34" t="s">
        <v>46</v>
      </c>
      <c r="F112" s="35" t="n">
        <v>0.0</v>
      </c>
      <c r="G112" s="34" t="s">
        <v>156</v>
      </c>
      <c r="H112" s="34" t="s">
        <v>46</v>
      </c>
      <c r="I112" s="35"/>
      <c r="J112" s="35"/>
      <c r="K112" s="37"/>
    </row>
    <row r="113">
      <c r="A113" s="35" t="s">
        <v>46</v>
      </c>
      <c r="B113" s="34" t="s">
        <v>46</v>
      </c>
      <c r="C113" s="35" t="s">
        <v>46</v>
      </c>
      <c r="D113" s="35" t="s">
        <v>46</v>
      </c>
      <c r="E113" s="34" t="s">
        <v>46</v>
      </c>
      <c r="F113" s="35" t="n">
        <v>1.0</v>
      </c>
      <c r="G113" s="34" t="s">
        <v>157</v>
      </c>
      <c r="H113" s="34" t="s">
        <v>46</v>
      </c>
      <c r="I113" s="35"/>
      <c r="J113" s="35"/>
      <c r="K113" s="37"/>
    </row>
    <row r="114">
      <c r="A114" s="35" t="s">
        <v>46</v>
      </c>
      <c r="B114" s="34" t="s">
        <v>46</v>
      </c>
      <c r="C114" s="35" t="s">
        <v>46</v>
      </c>
      <c r="D114" s="35" t="s">
        <v>46</v>
      </c>
      <c r="E114" s="34" t="s">
        <v>46</v>
      </c>
      <c r="F114" s="35" t="n">
        <v>2.0</v>
      </c>
      <c r="G114" s="34" t="s">
        <v>158</v>
      </c>
      <c r="H114" s="34" t="s">
        <v>46</v>
      </c>
      <c r="I114" s="35"/>
      <c r="J114" s="35"/>
      <c r="K114" s="37"/>
    </row>
    <row r="115">
      <c r="A115" s="35" t="s">
        <v>46</v>
      </c>
      <c r="B115" s="34" t="s">
        <v>46</v>
      </c>
      <c r="C115" s="35" t="s">
        <v>46</v>
      </c>
      <c r="D115" s="35" t="s">
        <v>46</v>
      </c>
      <c r="E115" s="34" t="s">
        <v>46</v>
      </c>
      <c r="F115" s="35" t="n">
        <v>3.0</v>
      </c>
      <c r="G115" s="34" t="s">
        <v>159</v>
      </c>
      <c r="H115" s="34" t="s">
        <v>46</v>
      </c>
      <c r="I115" s="35"/>
      <c r="J115" s="35"/>
      <c r="K115" s="37"/>
    </row>
    <row r="116">
      <c r="A116" s="35" t="s">
        <v>46</v>
      </c>
      <c r="B116" s="34" t="s">
        <v>46</v>
      </c>
      <c r="C116" s="35" t="s">
        <v>46</v>
      </c>
      <c r="D116" s="35" t="s">
        <v>48</v>
      </c>
      <c r="E116" s="34" t="s">
        <v>160</v>
      </c>
      <c r="F116" s="35" t="s">
        <v>46</v>
      </c>
      <c r="G116" s="34" t="s">
        <v>46</v>
      </c>
      <c r="H116" s="34" t="s">
        <v>46</v>
      </c>
      <c r="I116" s="35" t="n">
        <v>2.0</v>
      </c>
      <c r="J116" s="35"/>
      <c r="K116" s="37" t="n">
        <v>1.5</v>
      </c>
    </row>
    <row r="117">
      <c r="A117" s="35" t="s">
        <v>46</v>
      </c>
      <c r="B117" s="34" t="s">
        <v>46</v>
      </c>
      <c r="C117" s="35" t="s">
        <v>46</v>
      </c>
      <c r="D117" s="35" t="s">
        <v>46</v>
      </c>
      <c r="E117" s="34" t="s">
        <v>46</v>
      </c>
      <c r="F117" s="35" t="n">
        <v>0.0</v>
      </c>
      <c r="G117" s="34" t="s">
        <v>161</v>
      </c>
      <c r="H117" s="34" t="s">
        <v>46</v>
      </c>
      <c r="I117" s="35"/>
      <c r="J117" s="35"/>
      <c r="K117" s="37"/>
    </row>
    <row r="118">
      <c r="A118" s="35" t="s">
        <v>46</v>
      </c>
      <c r="B118" s="34" t="s">
        <v>46</v>
      </c>
      <c r="C118" s="35" t="s">
        <v>46</v>
      </c>
      <c r="D118" s="35" t="s">
        <v>46</v>
      </c>
      <c r="E118" s="34" t="s">
        <v>46</v>
      </c>
      <c r="F118" s="35" t="n">
        <v>1.0</v>
      </c>
      <c r="G118" s="34" t="s">
        <v>162</v>
      </c>
      <c r="H118" s="34" t="s">
        <v>46</v>
      </c>
      <c r="I118" s="35"/>
      <c r="J118" s="35"/>
      <c r="K118" s="37"/>
    </row>
    <row r="119">
      <c r="A119" s="35" t="s">
        <v>46</v>
      </c>
      <c r="B119" s="34" t="s">
        <v>46</v>
      </c>
      <c r="C119" s="35" t="s">
        <v>46</v>
      </c>
      <c r="D119" s="35" t="s">
        <v>46</v>
      </c>
      <c r="E119" s="34" t="s">
        <v>46</v>
      </c>
      <c r="F119" s="35" t="n">
        <v>2.0</v>
      </c>
      <c r="G119" s="34" t="s">
        <v>163</v>
      </c>
      <c r="H119" s="34" t="s">
        <v>46</v>
      </c>
      <c r="I119" s="35"/>
      <c r="J119" s="35"/>
      <c r="K119" s="37"/>
    </row>
    <row r="120">
      <c r="A120" s="35" t="s">
        <v>46</v>
      </c>
      <c r="B120" s="34" t="s">
        <v>46</v>
      </c>
      <c r="C120" s="35" t="s">
        <v>46</v>
      </c>
      <c r="D120" s="35" t="s">
        <v>46</v>
      </c>
      <c r="E120" s="34" t="s">
        <v>46</v>
      </c>
      <c r="F120" s="35" t="n">
        <v>3.0</v>
      </c>
      <c r="G120" s="34" t="s">
        <v>164</v>
      </c>
      <c r="H120" s="34" t="s">
        <v>46</v>
      </c>
      <c r="I120" s="35"/>
      <c r="J120" s="35"/>
      <c r="K120" s="37"/>
    </row>
    <row r="121">
      <c r="A121" s="35" t="s">
        <v>165</v>
      </c>
      <c r="B121" s="34" t="s">
        <v>166</v>
      </c>
      <c r="C121" s="35" t="s">
        <v>132</v>
      </c>
      <c r="D121" s="34" t="s">
        <v>46</v>
      </c>
      <c r="E121" s="34" t="s">
        <v>46</v>
      </c>
      <c r="F121" s="34" t="s">
        <v>46</v>
      </c>
      <c r="G121" s="34" t="s">
        <v>46</v>
      </c>
      <c r="H121" s="34" t="s">
        <v>46</v>
      </c>
      <c r="I121" s="34" t="s">
        <v>46</v>
      </c>
      <c r="J121" s="34" t="s">
        <v>46</v>
      </c>
      <c r="K121" s="34" t="s">
        <v>46</v>
      </c>
    </row>
    <row r="122">
      <c r="A122" s="35" t="s">
        <v>46</v>
      </c>
      <c r="B122" s="34" t="s">
        <v>46</v>
      </c>
      <c r="C122" s="35" t="s">
        <v>46</v>
      </c>
      <c r="D122" s="35" t="s">
        <v>83</v>
      </c>
      <c r="E122" s="34" t="s">
        <v>167</v>
      </c>
      <c r="F122" s="35" t="s">
        <v>46</v>
      </c>
      <c r="G122" s="34" t="s">
        <v>168</v>
      </c>
      <c r="H122" s="34" t="s">
        <v>46</v>
      </c>
      <c r="I122" s="35" t="n">
        <v>5.0</v>
      </c>
      <c r="J122" s="35"/>
      <c r="K122" s="37" t="n">
        <v>0.75</v>
      </c>
    </row>
    <row r="123">
      <c r="A123" s="35" t="s">
        <v>46</v>
      </c>
      <c r="B123" s="34" t="s">
        <v>46</v>
      </c>
      <c r="C123" s="35" t="s">
        <v>46</v>
      </c>
      <c r="D123" s="35" t="s">
        <v>83</v>
      </c>
      <c r="E123" s="34" t="s">
        <v>169</v>
      </c>
      <c r="F123" s="35" t="s">
        <v>46</v>
      </c>
      <c r="G123" s="34" t="s">
        <v>170</v>
      </c>
      <c r="H123" s="34" t="s">
        <v>46</v>
      </c>
      <c r="I123" s="35" t="n">
        <v>5.0</v>
      </c>
      <c r="J123" s="35"/>
      <c r="K123" s="37" t="n">
        <v>1.5</v>
      </c>
    </row>
    <row r="124">
      <c r="A124" s="35" t="s">
        <v>46</v>
      </c>
      <c r="B124" s="34" t="s">
        <v>46</v>
      </c>
      <c r="C124" s="35" t="s">
        <v>46</v>
      </c>
      <c r="D124" s="35" t="s">
        <v>83</v>
      </c>
      <c r="E124" s="34" t="s">
        <v>171</v>
      </c>
      <c r="F124" s="35" t="s">
        <v>46</v>
      </c>
      <c r="G124" s="34" t="s">
        <v>172</v>
      </c>
      <c r="H124" s="34" t="s">
        <v>46</v>
      </c>
      <c r="I124" s="35" t="n">
        <v>3.0</v>
      </c>
      <c r="J124" s="35"/>
      <c r="K124" s="37" t="n">
        <v>1.0</v>
      </c>
    </row>
    <row r="125">
      <c r="A125" s="35" t="s">
        <v>46</v>
      </c>
      <c r="B125" s="34" t="s">
        <v>46</v>
      </c>
      <c r="C125" s="35" t="s">
        <v>46</v>
      </c>
      <c r="D125" s="35" t="s">
        <v>83</v>
      </c>
      <c r="E125" s="34" t="s">
        <v>173</v>
      </c>
      <c r="F125" s="35" t="s">
        <v>46</v>
      </c>
      <c r="G125" s="34" t="s">
        <v>174</v>
      </c>
      <c r="H125" s="34" t="s">
        <v>46</v>
      </c>
      <c r="I125" s="35" t="n">
        <v>5.0</v>
      </c>
      <c r="J125" s="35"/>
      <c r="K125" s="37" t="n">
        <v>0.5</v>
      </c>
    </row>
    <row r="126">
      <c r="A126" s="35" t="s">
        <v>46</v>
      </c>
      <c r="B126" s="34" t="s">
        <v>46</v>
      </c>
      <c r="C126" s="35" t="s">
        <v>46</v>
      </c>
      <c r="D126" s="35" t="s">
        <v>48</v>
      </c>
      <c r="E126" s="34" t="s">
        <v>175</v>
      </c>
      <c r="F126" s="35" t="s">
        <v>46</v>
      </c>
      <c r="G126" s="34" t="s">
        <v>46</v>
      </c>
      <c r="H126" s="34" t="s">
        <v>46</v>
      </c>
      <c r="I126" s="35" t="n">
        <v>4.0</v>
      </c>
      <c r="J126" s="35"/>
      <c r="K126" s="37" t="n">
        <v>1.0</v>
      </c>
    </row>
    <row r="127">
      <c r="A127" s="35" t="s">
        <v>46</v>
      </c>
      <c r="B127" s="34" t="s">
        <v>46</v>
      </c>
      <c r="C127" s="35" t="s">
        <v>46</v>
      </c>
      <c r="D127" s="35" t="s">
        <v>46</v>
      </c>
      <c r="E127" s="34" t="s">
        <v>46</v>
      </c>
      <c r="F127" s="35" t="n">
        <v>0.0</v>
      </c>
      <c r="G127" s="34" t="s">
        <v>176</v>
      </c>
      <c r="H127" s="34" t="s">
        <v>46</v>
      </c>
      <c r="I127" s="35"/>
      <c r="J127" s="35"/>
      <c r="K127" s="37"/>
    </row>
    <row r="128">
      <c r="A128" s="35" t="s">
        <v>46</v>
      </c>
      <c r="B128" s="34" t="s">
        <v>46</v>
      </c>
      <c r="C128" s="35" t="s">
        <v>46</v>
      </c>
      <c r="D128" s="35" t="s">
        <v>46</v>
      </c>
      <c r="E128" s="34" t="s">
        <v>46</v>
      </c>
      <c r="F128" s="35" t="n">
        <v>1.0</v>
      </c>
      <c r="G128" s="34" t="s">
        <v>177</v>
      </c>
      <c r="H128" s="34" t="s">
        <v>46</v>
      </c>
      <c r="I128" s="35"/>
      <c r="J128" s="35"/>
      <c r="K128" s="37"/>
    </row>
    <row r="129">
      <c r="A129" s="35" t="s">
        <v>46</v>
      </c>
      <c r="B129" s="34" t="s">
        <v>46</v>
      </c>
      <c r="C129" s="35" t="s">
        <v>46</v>
      </c>
      <c r="D129" s="35" t="s">
        <v>46</v>
      </c>
      <c r="E129" s="34" t="s">
        <v>46</v>
      </c>
      <c r="F129" s="35" t="n">
        <v>2.0</v>
      </c>
      <c r="G129" s="34" t="s">
        <v>178</v>
      </c>
      <c r="H129" s="34" t="s">
        <v>46</v>
      </c>
      <c r="I129" s="35"/>
      <c r="J129" s="35"/>
      <c r="K129" s="37"/>
    </row>
    <row r="130">
      <c r="A130" s="35" t="s">
        <v>46</v>
      </c>
      <c r="B130" s="34" t="s">
        <v>46</v>
      </c>
      <c r="C130" s="35" t="s">
        <v>46</v>
      </c>
      <c r="D130" s="35" t="s">
        <v>46</v>
      </c>
      <c r="E130" s="34" t="s">
        <v>46</v>
      </c>
      <c r="F130" s="35" t="n">
        <v>3.0</v>
      </c>
      <c r="G130" s="34" t="s">
        <v>179</v>
      </c>
      <c r="H130" s="34" t="s">
        <v>46</v>
      </c>
      <c r="I130" s="35"/>
      <c r="J130" s="35"/>
      <c r="K130" s="37"/>
    </row>
    <row r="131">
      <c r="A131" s="35" t="s">
        <v>180</v>
      </c>
      <c r="B131" s="34" t="s">
        <v>181</v>
      </c>
      <c r="C131" s="35" t="s">
        <v>132</v>
      </c>
      <c r="D131" s="34" t="s">
        <v>46</v>
      </c>
      <c r="E131" s="34" t="s">
        <v>46</v>
      </c>
      <c r="F131" s="34" t="s">
        <v>46</v>
      </c>
      <c r="G131" s="34" t="s">
        <v>46</v>
      </c>
      <c r="H131" s="34" t="s">
        <v>46</v>
      </c>
      <c r="I131" s="34" t="s">
        <v>46</v>
      </c>
      <c r="J131" s="34" t="s">
        <v>46</v>
      </c>
      <c r="K131" s="34" t="s">
        <v>46</v>
      </c>
    </row>
    <row r="132">
      <c r="A132" s="35" t="s">
        <v>46</v>
      </c>
      <c r="B132" s="34" t="s">
        <v>46</v>
      </c>
      <c r="C132" s="35" t="s">
        <v>46</v>
      </c>
      <c r="D132" s="35" t="s">
        <v>83</v>
      </c>
      <c r="E132" s="34" t="s">
        <v>182</v>
      </c>
      <c r="F132" s="35" t="s">
        <v>46</v>
      </c>
      <c r="G132" s="34" t="s">
        <v>183</v>
      </c>
      <c r="H132" s="34" t="s">
        <v>46</v>
      </c>
      <c r="I132" s="35" t="n">
        <v>3.0</v>
      </c>
      <c r="J132" s="35"/>
      <c r="K132" s="37" t="n">
        <v>1.0</v>
      </c>
    </row>
    <row r="133">
      <c r="A133" s="35" t="s">
        <v>46</v>
      </c>
      <c r="B133" s="34" t="s">
        <v>46</v>
      </c>
      <c r="C133" s="35" t="s">
        <v>46</v>
      </c>
      <c r="D133" s="35" t="s">
        <v>83</v>
      </c>
      <c r="E133" s="34" t="s">
        <v>184</v>
      </c>
      <c r="F133" s="35" t="s">
        <v>46</v>
      </c>
      <c r="G133" s="34" t="s">
        <v>185</v>
      </c>
      <c r="H133" s="34" t="s">
        <v>46</v>
      </c>
      <c r="I133" s="35" t="n">
        <v>1.0</v>
      </c>
      <c r="J133" s="35"/>
      <c r="K133" s="37" t="n">
        <v>0.5</v>
      </c>
    </row>
    <row r="134">
      <c r="A134" s="35" t="s">
        <v>46</v>
      </c>
      <c r="B134" s="34" t="s">
        <v>46</v>
      </c>
      <c r="C134" s="35" t="s">
        <v>46</v>
      </c>
      <c r="D134" s="35" t="s">
        <v>83</v>
      </c>
      <c r="E134" s="34" t="s">
        <v>186</v>
      </c>
      <c r="F134" s="35" t="s">
        <v>46</v>
      </c>
      <c r="G134" s="34" t="s">
        <v>187</v>
      </c>
      <c r="H134" s="34" t="s">
        <v>46</v>
      </c>
      <c r="I134" s="35" t="n">
        <v>5.0</v>
      </c>
      <c r="J134" s="35"/>
      <c r="K134" s="37" t="n">
        <v>0.75</v>
      </c>
    </row>
    <row r="135">
      <c r="A135" s="35" t="s">
        <v>46</v>
      </c>
      <c r="B135" s="34" t="s">
        <v>46</v>
      </c>
      <c r="C135" s="35" t="s">
        <v>46</v>
      </c>
      <c r="D135" s="35" t="s">
        <v>83</v>
      </c>
      <c r="E135" s="34" t="s">
        <v>110</v>
      </c>
      <c r="F135" s="35" t="s">
        <v>46</v>
      </c>
      <c r="G135" s="34" t="s">
        <v>188</v>
      </c>
      <c r="H135" s="34" t="s">
        <v>46</v>
      </c>
      <c r="I135" s="35" t="n">
        <v>1.0</v>
      </c>
      <c r="J135" s="35"/>
      <c r="K135" s="37" t="n">
        <v>0.25</v>
      </c>
    </row>
    <row r="136">
      <c r="A136" s="35" t="s">
        <v>189</v>
      </c>
      <c r="B136" s="34" t="s">
        <v>190</v>
      </c>
      <c r="C136" s="35" t="s">
        <v>132</v>
      </c>
      <c r="D136" s="34" t="s">
        <v>46</v>
      </c>
      <c r="E136" s="34" t="s">
        <v>46</v>
      </c>
      <c r="F136" s="34" t="s">
        <v>46</v>
      </c>
      <c r="G136" s="34" t="s">
        <v>46</v>
      </c>
      <c r="H136" s="34" t="s">
        <v>46</v>
      </c>
      <c r="I136" s="34" t="s">
        <v>46</v>
      </c>
      <c r="J136" s="34" t="s">
        <v>46</v>
      </c>
      <c r="K136" s="34" t="s">
        <v>46</v>
      </c>
    </row>
    <row r="137">
      <c r="A137" s="35" t="s">
        <v>46</v>
      </c>
      <c r="B137" s="34" t="s">
        <v>46</v>
      </c>
      <c r="C137" s="35" t="s">
        <v>46</v>
      </c>
      <c r="D137" s="35" t="s">
        <v>83</v>
      </c>
      <c r="E137" s="34" t="s">
        <v>191</v>
      </c>
      <c r="F137" s="35" t="s">
        <v>46</v>
      </c>
      <c r="G137" s="34" t="s">
        <v>192</v>
      </c>
      <c r="H137" s="34" t="s">
        <v>46</v>
      </c>
      <c r="I137" s="35" t="n">
        <v>5.0</v>
      </c>
      <c r="J137" s="35"/>
      <c r="K137" s="37" t="n">
        <v>0.75</v>
      </c>
    </row>
    <row r="138">
      <c r="A138" s="35" t="s">
        <v>46</v>
      </c>
      <c r="B138" s="34" t="s">
        <v>46</v>
      </c>
      <c r="C138" s="35" t="s">
        <v>46</v>
      </c>
      <c r="D138" s="35" t="s">
        <v>83</v>
      </c>
      <c r="E138" s="34" t="s">
        <v>193</v>
      </c>
      <c r="F138" s="35" t="s">
        <v>46</v>
      </c>
      <c r="G138" s="34" t="s">
        <v>194</v>
      </c>
      <c r="H138" s="34" t="s">
        <v>46</v>
      </c>
      <c r="I138" s="35" t="n">
        <v>5.0</v>
      </c>
      <c r="J138" s="35"/>
      <c r="K138" s="37" t="n">
        <v>1.0</v>
      </c>
    </row>
    <row r="139">
      <c r="A139" s="35" t="s">
        <v>46</v>
      </c>
      <c r="B139" s="34" t="s">
        <v>46</v>
      </c>
      <c r="C139" s="35" t="s">
        <v>46</v>
      </c>
      <c r="D139" s="35" t="s">
        <v>83</v>
      </c>
      <c r="E139" s="34" t="s">
        <v>195</v>
      </c>
      <c r="F139" s="35" t="s">
        <v>46</v>
      </c>
      <c r="G139" s="34" t="s">
        <v>196</v>
      </c>
      <c r="H139" s="34" t="s">
        <v>46</v>
      </c>
      <c r="I139" s="35" t="n">
        <v>3.0</v>
      </c>
      <c r="J139" s="35"/>
      <c r="K139" s="37" t="n">
        <v>0.5</v>
      </c>
    </row>
    <row r="140">
      <c r="A140" s="35" t="s">
        <v>197</v>
      </c>
      <c r="B140" s="34" t="s">
        <v>198</v>
      </c>
      <c r="C140" s="35" t="s">
        <v>132</v>
      </c>
      <c r="D140" s="34" t="s">
        <v>46</v>
      </c>
      <c r="E140" s="34" t="s">
        <v>46</v>
      </c>
      <c r="F140" s="34" t="s">
        <v>46</v>
      </c>
      <c r="G140" s="34" t="s">
        <v>46</v>
      </c>
      <c r="H140" s="34" t="s">
        <v>46</v>
      </c>
      <c r="I140" s="34" t="s">
        <v>46</v>
      </c>
      <c r="J140" s="34" t="s">
        <v>46</v>
      </c>
      <c r="K140" s="34" t="s">
        <v>46</v>
      </c>
    </row>
    <row r="141">
      <c r="A141" s="35" t="s">
        <v>46</v>
      </c>
      <c r="B141" s="34" t="s">
        <v>46</v>
      </c>
      <c r="C141" s="35" t="s">
        <v>46</v>
      </c>
      <c r="D141" s="35" t="s">
        <v>83</v>
      </c>
      <c r="E141" s="34" t="s">
        <v>199</v>
      </c>
      <c r="F141" s="35" t="s">
        <v>46</v>
      </c>
      <c r="G141" s="34" t="s">
        <v>200</v>
      </c>
      <c r="H141" s="34" t="s">
        <v>46</v>
      </c>
      <c r="I141" s="35" t="n">
        <v>1.0</v>
      </c>
      <c r="J141" s="35"/>
      <c r="K141" s="37" t="n">
        <v>0.25</v>
      </c>
    </row>
    <row r="142">
      <c r="A142" s="35" t="s">
        <v>46</v>
      </c>
      <c r="B142" s="34" t="s">
        <v>46</v>
      </c>
      <c r="C142" s="35" t="s">
        <v>46</v>
      </c>
      <c r="D142" s="35" t="s">
        <v>83</v>
      </c>
      <c r="E142" s="34" t="s">
        <v>201</v>
      </c>
      <c r="F142" s="35" t="s">
        <v>46</v>
      </c>
      <c r="G142" s="34" t="s">
        <v>202</v>
      </c>
      <c r="H142" s="34" t="s">
        <v>46</v>
      </c>
      <c r="I142" s="35" t="n">
        <v>5.0</v>
      </c>
      <c r="J142" s="35"/>
      <c r="K142" s="37" t="n">
        <v>1.0</v>
      </c>
    </row>
    <row r="143">
      <c r="A143" s="35" t="s">
        <v>46</v>
      </c>
      <c r="B143" s="34" t="s">
        <v>46</v>
      </c>
      <c r="C143" s="35" t="s">
        <v>46</v>
      </c>
      <c r="D143" s="35" t="s">
        <v>83</v>
      </c>
      <c r="E143" s="34" t="s">
        <v>203</v>
      </c>
      <c r="F143" s="35" t="s">
        <v>46</v>
      </c>
      <c r="G143" s="34" t="s">
        <v>204</v>
      </c>
      <c r="H143" s="34" t="s">
        <v>46</v>
      </c>
      <c r="I143" s="35" t="n">
        <v>5.0</v>
      </c>
      <c r="J143" s="35"/>
      <c r="K143" s="37" t="n">
        <v>1.25</v>
      </c>
    </row>
    <row r="144">
      <c r="A144" s="35" t="s">
        <v>46</v>
      </c>
      <c r="B144" s="34" t="s">
        <v>46</v>
      </c>
      <c r="C144" s="35" t="s">
        <v>46</v>
      </c>
      <c r="D144" s="35" t="s">
        <v>83</v>
      </c>
      <c r="E144" s="34" t="s">
        <v>205</v>
      </c>
      <c r="F144" s="35" t="s">
        <v>46</v>
      </c>
      <c r="G144" s="34" t="s">
        <v>206</v>
      </c>
      <c r="H144" s="34" t="s">
        <v>46</v>
      </c>
      <c r="I144" s="35" t="n">
        <v>1.0</v>
      </c>
      <c r="J144" s="35"/>
      <c r="K144" s="37" t="n">
        <v>0.5</v>
      </c>
    </row>
    <row r="145">
      <c r="A145" s="35" t="s">
        <v>46</v>
      </c>
      <c r="B145" s="34" t="s">
        <v>46</v>
      </c>
      <c r="C145" s="35" t="s">
        <v>46</v>
      </c>
      <c r="D145" s="35" t="s">
        <v>83</v>
      </c>
      <c r="E145" s="34" t="s">
        <v>207</v>
      </c>
      <c r="F145" s="35" t="s">
        <v>46</v>
      </c>
      <c r="G145" s="34" t="s">
        <v>208</v>
      </c>
      <c r="H145" s="34" t="s">
        <v>46</v>
      </c>
      <c r="I145" s="35" t="n">
        <v>5.0</v>
      </c>
      <c r="J145" s="35"/>
      <c r="K145" s="37" t="n">
        <v>1.0</v>
      </c>
    </row>
    <row r="146">
      <c r="A146" s="35" t="s">
        <v>46</v>
      </c>
      <c r="B146" s="34" t="s">
        <v>46</v>
      </c>
      <c r="C146" s="35" t="s">
        <v>46</v>
      </c>
      <c r="D146" s="35" t="s">
        <v>48</v>
      </c>
      <c r="E146" s="34" t="s">
        <v>209</v>
      </c>
      <c r="F146" s="35" t="s">
        <v>46</v>
      </c>
      <c r="G146" s="34" t="s">
        <v>46</v>
      </c>
      <c r="H146" s="34" t="s">
        <v>46</v>
      </c>
      <c r="I146" s="35" t="n">
        <v>4.0</v>
      </c>
      <c r="J146" s="35"/>
      <c r="K146" s="37" t="n">
        <v>1.25</v>
      </c>
    </row>
    <row r="147">
      <c r="A147" s="35" t="s">
        <v>46</v>
      </c>
      <c r="B147" s="34" t="s">
        <v>46</v>
      </c>
      <c r="C147" s="35" t="s">
        <v>46</v>
      </c>
      <c r="D147" s="35" t="s">
        <v>46</v>
      </c>
      <c r="E147" s="34" t="s">
        <v>46</v>
      </c>
      <c r="F147" s="35" t="n">
        <v>0.0</v>
      </c>
      <c r="G147" s="34" t="s">
        <v>210</v>
      </c>
      <c r="H147" s="34" t="s">
        <v>46</v>
      </c>
      <c r="I147" s="35"/>
      <c r="J147" s="35"/>
      <c r="K147" s="37"/>
    </row>
    <row r="148">
      <c r="A148" s="35" t="s">
        <v>46</v>
      </c>
      <c r="B148" s="34" t="s">
        <v>46</v>
      </c>
      <c r="C148" s="35" t="s">
        <v>46</v>
      </c>
      <c r="D148" s="35" t="s">
        <v>46</v>
      </c>
      <c r="E148" s="34" t="s">
        <v>46</v>
      </c>
      <c r="F148" s="35" t="n">
        <v>1.0</v>
      </c>
      <c r="G148" s="34" t="s">
        <v>211</v>
      </c>
      <c r="H148" s="34" t="s">
        <v>46</v>
      </c>
      <c r="I148" s="35"/>
      <c r="J148" s="35"/>
      <c r="K148" s="37"/>
    </row>
    <row r="149">
      <c r="A149" s="35" t="s">
        <v>46</v>
      </c>
      <c r="B149" s="34" t="s">
        <v>46</v>
      </c>
      <c r="C149" s="35" t="s">
        <v>46</v>
      </c>
      <c r="D149" s="35" t="s">
        <v>46</v>
      </c>
      <c r="E149" s="34" t="s">
        <v>46</v>
      </c>
      <c r="F149" s="35" t="n">
        <v>2.0</v>
      </c>
      <c r="G149" s="34" t="s">
        <v>212</v>
      </c>
      <c r="H149" s="34" t="s">
        <v>46</v>
      </c>
      <c r="I149" s="35"/>
      <c r="J149" s="35"/>
      <c r="K149" s="37"/>
    </row>
    <row r="150">
      <c r="A150" s="35" t="s">
        <v>46</v>
      </c>
      <c r="B150" s="34" t="s">
        <v>46</v>
      </c>
      <c r="C150" s="35" t="s">
        <v>46</v>
      </c>
      <c r="D150" s="35" t="s">
        <v>46</v>
      </c>
      <c r="E150" s="34" t="s">
        <v>46</v>
      </c>
      <c r="F150" s="35" t="n">
        <v>3.0</v>
      </c>
      <c r="G150" s="34" t="s">
        <v>213</v>
      </c>
      <c r="H150" s="34" t="s">
        <v>46</v>
      </c>
      <c r="I150" s="35"/>
      <c r="J150" s="35"/>
      <c r="K150" s="37"/>
    </row>
    <row r="151">
      <c r="A151" s="35" t="s">
        <v>46</v>
      </c>
      <c r="B151" s="34" t="s">
        <v>46</v>
      </c>
      <c r="C151" s="35" t="s">
        <v>46</v>
      </c>
      <c r="D151" s="35" t="s">
        <v>46</v>
      </c>
      <c r="E151" s="34" t="s">
        <v>46</v>
      </c>
      <c r="F151" s="35" t="s">
        <v>46</v>
      </c>
      <c r="G151" s="34" t="s">
        <v>46</v>
      </c>
      <c r="H151" s="34" t="s">
        <v>46</v>
      </c>
      <c r="I151" s="35"/>
      <c r="J151" s="35"/>
      <c r="K151" s="37"/>
    </row>
    <row r="152">
      <c r="A152" s="35" t="s">
        <v>46</v>
      </c>
      <c r="B152" s="34" t="s">
        <v>46</v>
      </c>
      <c r="C152" s="35" t="s">
        <v>46</v>
      </c>
      <c r="D152" s="35" t="s">
        <v>46</v>
      </c>
      <c r="E152" s="34" t="s">
        <v>46</v>
      </c>
      <c r="F152" s="35" t="s">
        <v>46</v>
      </c>
      <c r="G152" s="34" t="s">
        <v>46</v>
      </c>
      <c r="H152" s="34" t="s">
        <v>46</v>
      </c>
      <c r="I152" s="35"/>
      <c r="J152" s="35"/>
      <c r="K152" s="37"/>
    </row>
    <row r="153">
      <c r="A153" s="58" t="s">
        <v>15</v>
      </c>
      <c r="B153" s="59" t="s">
        <v>16</v>
      </c>
      <c r="C153" s="60" t="s">
        <v>10</v>
      </c>
      <c r="D153" s="61" t="s">
        <v>6</v>
      </c>
      <c r="E153" s="62" t="s">
        <v>1</v>
      </c>
      <c r="F153" s="63" t="s">
        <v>2</v>
      </c>
      <c r="G153" s="64" t="s">
        <v>8</v>
      </c>
      <c r="H153" s="65" t="s">
        <v>9</v>
      </c>
      <c r="I153" s="66" t="s">
        <v>23</v>
      </c>
      <c r="J153" s="67" t="s">
        <v>11</v>
      </c>
      <c r="K153" s="68" t="s">
        <v>3</v>
      </c>
      <c r="L153" s="69" t="s">
        <v>214</v>
      </c>
      <c r="M153" s="70" t="s">
        <v>4</v>
      </c>
      <c r="N153" s="71">
        <f>SUM(K154:K223)</f>
      </c>
    </row>
    <row r="154">
      <c r="A154" s="35" t="s">
        <v>215</v>
      </c>
      <c r="B154" s="34" t="s">
        <v>216</v>
      </c>
      <c r="C154" s="35" t="s">
        <v>217</v>
      </c>
      <c r="D154" s="34" t="s">
        <v>46</v>
      </c>
      <c r="E154" s="34" t="s">
        <v>46</v>
      </c>
      <c r="F154" s="34" t="s">
        <v>46</v>
      </c>
      <c r="G154" s="34" t="s">
        <v>46</v>
      </c>
      <c r="H154" s="34" t="s">
        <v>46</v>
      </c>
      <c r="I154" s="34" t="s">
        <v>46</v>
      </c>
      <c r="J154" s="34" t="s">
        <v>46</v>
      </c>
      <c r="K154" s="34" t="s">
        <v>46</v>
      </c>
    </row>
    <row r="155">
      <c r="A155" s="35" t="s">
        <v>46</v>
      </c>
      <c r="B155" s="34" t="s">
        <v>46</v>
      </c>
      <c r="C155" s="35" t="s">
        <v>46</v>
      </c>
      <c r="D155" s="35" t="s">
        <v>48</v>
      </c>
      <c r="E155" s="34" t="s">
        <v>218</v>
      </c>
      <c r="F155" s="35" t="s">
        <v>46</v>
      </c>
      <c r="G155" s="34" t="s">
        <v>46</v>
      </c>
      <c r="H155" s="34" t="s">
        <v>46</v>
      </c>
      <c r="I155" s="35" t="n">
        <v>4.0</v>
      </c>
      <c r="J155" s="35"/>
      <c r="K155" s="37" t="n">
        <v>2.0</v>
      </c>
    </row>
    <row r="156">
      <c r="A156" s="35" t="s">
        <v>46</v>
      </c>
      <c r="B156" s="34" t="s">
        <v>46</v>
      </c>
      <c r="C156" s="35" t="s">
        <v>46</v>
      </c>
      <c r="D156" s="35" t="s">
        <v>46</v>
      </c>
      <c r="E156" s="34" t="s">
        <v>46</v>
      </c>
      <c r="F156" s="35" t="n">
        <v>0.0</v>
      </c>
      <c r="G156" s="34" t="s">
        <v>219</v>
      </c>
      <c r="H156" s="34" t="s">
        <v>46</v>
      </c>
      <c r="I156" s="35"/>
      <c r="J156" s="35"/>
      <c r="K156" s="37"/>
    </row>
    <row r="157">
      <c r="A157" s="35" t="s">
        <v>46</v>
      </c>
      <c r="B157" s="34" t="s">
        <v>46</v>
      </c>
      <c r="C157" s="35" t="s">
        <v>46</v>
      </c>
      <c r="D157" s="35" t="s">
        <v>46</v>
      </c>
      <c r="E157" s="34" t="s">
        <v>46</v>
      </c>
      <c r="F157" s="35" t="n">
        <v>1.0</v>
      </c>
      <c r="G157" s="34" t="s">
        <v>220</v>
      </c>
      <c r="H157" s="34" t="s">
        <v>46</v>
      </c>
      <c r="I157" s="35"/>
      <c r="J157" s="35"/>
      <c r="K157" s="37"/>
    </row>
    <row r="158">
      <c r="A158" s="35" t="s">
        <v>46</v>
      </c>
      <c r="B158" s="34" t="s">
        <v>46</v>
      </c>
      <c r="C158" s="35" t="s">
        <v>46</v>
      </c>
      <c r="D158" s="35" t="s">
        <v>46</v>
      </c>
      <c r="E158" s="34" t="s">
        <v>46</v>
      </c>
      <c r="F158" s="35" t="n">
        <v>2.0</v>
      </c>
      <c r="G158" s="34" t="s">
        <v>221</v>
      </c>
      <c r="H158" s="34" t="s">
        <v>46</v>
      </c>
      <c r="I158" s="35"/>
      <c r="J158" s="35"/>
      <c r="K158" s="37"/>
    </row>
    <row r="159">
      <c r="A159" s="35" t="s">
        <v>46</v>
      </c>
      <c r="B159" s="34" t="s">
        <v>46</v>
      </c>
      <c r="C159" s="35" t="s">
        <v>46</v>
      </c>
      <c r="D159" s="35" t="s">
        <v>46</v>
      </c>
      <c r="E159" s="34" t="s">
        <v>46</v>
      </c>
      <c r="F159" s="35" t="n">
        <v>3.0</v>
      </c>
      <c r="G159" s="34" t="s">
        <v>222</v>
      </c>
      <c r="H159" s="34" t="s">
        <v>46</v>
      </c>
      <c r="I159" s="35"/>
      <c r="J159" s="35"/>
      <c r="K159" s="37"/>
    </row>
    <row r="160">
      <c r="A160" s="35" t="s">
        <v>46</v>
      </c>
      <c r="B160" s="34" t="s">
        <v>46</v>
      </c>
      <c r="C160" s="35" t="s">
        <v>46</v>
      </c>
      <c r="D160" s="35" t="s">
        <v>48</v>
      </c>
      <c r="E160" s="34" t="s">
        <v>223</v>
      </c>
      <c r="F160" s="35" t="s">
        <v>46</v>
      </c>
      <c r="G160" s="34" t="s">
        <v>46</v>
      </c>
      <c r="H160" s="34" t="s">
        <v>46</v>
      </c>
      <c r="I160" s="35" t="n">
        <v>4.0</v>
      </c>
      <c r="J160" s="35"/>
      <c r="K160" s="37" t="n">
        <v>1.0</v>
      </c>
    </row>
    <row r="161">
      <c r="A161" s="35" t="s">
        <v>46</v>
      </c>
      <c r="B161" s="34" t="s">
        <v>46</v>
      </c>
      <c r="C161" s="35" t="s">
        <v>46</v>
      </c>
      <c r="D161" s="35" t="s">
        <v>46</v>
      </c>
      <c r="E161" s="34" t="s">
        <v>46</v>
      </c>
      <c r="F161" s="35" t="n">
        <v>0.0</v>
      </c>
      <c r="G161" s="34" t="s">
        <v>224</v>
      </c>
      <c r="H161" s="34" t="s">
        <v>46</v>
      </c>
      <c r="I161" s="35"/>
      <c r="J161" s="35"/>
      <c r="K161" s="37"/>
    </row>
    <row r="162">
      <c r="A162" s="35" t="s">
        <v>46</v>
      </c>
      <c r="B162" s="34" t="s">
        <v>46</v>
      </c>
      <c r="C162" s="35" t="s">
        <v>46</v>
      </c>
      <c r="D162" s="35" t="s">
        <v>46</v>
      </c>
      <c r="E162" s="34" t="s">
        <v>46</v>
      </c>
      <c r="F162" s="35" t="n">
        <v>1.0</v>
      </c>
      <c r="G162" s="34" t="s">
        <v>225</v>
      </c>
      <c r="H162" s="34" t="s">
        <v>46</v>
      </c>
      <c r="I162" s="35"/>
      <c r="J162" s="35"/>
      <c r="K162" s="37"/>
    </row>
    <row r="163">
      <c r="A163" s="35" t="s">
        <v>46</v>
      </c>
      <c r="B163" s="34" t="s">
        <v>46</v>
      </c>
      <c r="C163" s="35" t="s">
        <v>46</v>
      </c>
      <c r="D163" s="35" t="s">
        <v>46</v>
      </c>
      <c r="E163" s="34" t="s">
        <v>46</v>
      </c>
      <c r="F163" s="35" t="n">
        <v>2.0</v>
      </c>
      <c r="G163" s="34" t="s">
        <v>226</v>
      </c>
      <c r="H163" s="34" t="s">
        <v>46</v>
      </c>
      <c r="I163" s="35"/>
      <c r="J163" s="35"/>
      <c r="K163" s="37"/>
    </row>
    <row r="164">
      <c r="A164" s="35" t="s">
        <v>46</v>
      </c>
      <c r="B164" s="34" t="s">
        <v>46</v>
      </c>
      <c r="C164" s="35" t="s">
        <v>46</v>
      </c>
      <c r="D164" s="35" t="s">
        <v>46</v>
      </c>
      <c r="E164" s="34" t="s">
        <v>46</v>
      </c>
      <c r="F164" s="35" t="n">
        <v>3.0</v>
      </c>
      <c r="G164" s="34" t="s">
        <v>227</v>
      </c>
      <c r="H164" s="34" t="s">
        <v>46</v>
      </c>
      <c r="I164" s="35"/>
      <c r="J164" s="35"/>
      <c r="K164" s="37"/>
    </row>
    <row r="165">
      <c r="A165" s="35" t="s">
        <v>46</v>
      </c>
      <c r="B165" s="34" t="s">
        <v>46</v>
      </c>
      <c r="C165" s="35" t="s">
        <v>46</v>
      </c>
      <c r="D165" s="35" t="s">
        <v>48</v>
      </c>
      <c r="E165" s="34" t="s">
        <v>228</v>
      </c>
      <c r="F165" s="35" t="s">
        <v>46</v>
      </c>
      <c r="G165" s="34" t="s">
        <v>46</v>
      </c>
      <c r="H165" s="34" t="s">
        <v>46</v>
      </c>
      <c r="I165" s="35" t="n">
        <v>4.0</v>
      </c>
      <c r="J165" s="35"/>
      <c r="K165" s="37" t="n">
        <v>2.0</v>
      </c>
    </row>
    <row r="166">
      <c r="A166" s="35" t="s">
        <v>46</v>
      </c>
      <c r="B166" s="34" t="s">
        <v>46</v>
      </c>
      <c r="C166" s="35" t="s">
        <v>46</v>
      </c>
      <c r="D166" s="35" t="s">
        <v>46</v>
      </c>
      <c r="E166" s="34" t="s">
        <v>46</v>
      </c>
      <c r="F166" s="35" t="n">
        <v>0.0</v>
      </c>
      <c r="G166" s="34" t="s">
        <v>229</v>
      </c>
      <c r="H166" s="34" t="s">
        <v>46</v>
      </c>
      <c r="I166" s="35"/>
      <c r="J166" s="35"/>
      <c r="K166" s="37"/>
    </row>
    <row r="167">
      <c r="A167" s="35" t="s">
        <v>46</v>
      </c>
      <c r="B167" s="34" t="s">
        <v>46</v>
      </c>
      <c r="C167" s="35" t="s">
        <v>46</v>
      </c>
      <c r="D167" s="35" t="s">
        <v>46</v>
      </c>
      <c r="E167" s="34" t="s">
        <v>46</v>
      </c>
      <c r="F167" s="35" t="n">
        <v>1.0</v>
      </c>
      <c r="G167" s="34" t="s">
        <v>230</v>
      </c>
      <c r="H167" s="34" t="s">
        <v>46</v>
      </c>
      <c r="I167" s="35"/>
      <c r="J167" s="35"/>
      <c r="K167" s="37"/>
    </row>
    <row r="168">
      <c r="A168" s="35" t="s">
        <v>46</v>
      </c>
      <c r="B168" s="34" t="s">
        <v>46</v>
      </c>
      <c r="C168" s="35" t="s">
        <v>46</v>
      </c>
      <c r="D168" s="35" t="s">
        <v>46</v>
      </c>
      <c r="E168" s="34" t="s">
        <v>46</v>
      </c>
      <c r="F168" s="35" t="n">
        <v>2.0</v>
      </c>
      <c r="G168" s="34" t="s">
        <v>231</v>
      </c>
      <c r="H168" s="34" t="s">
        <v>46</v>
      </c>
      <c r="I168" s="35"/>
      <c r="J168" s="35"/>
      <c r="K168" s="37"/>
    </row>
    <row r="169">
      <c r="A169" s="35" t="s">
        <v>46</v>
      </c>
      <c r="B169" s="34" t="s">
        <v>46</v>
      </c>
      <c r="C169" s="35" t="s">
        <v>46</v>
      </c>
      <c r="D169" s="35" t="s">
        <v>46</v>
      </c>
      <c r="E169" s="34" t="s">
        <v>46</v>
      </c>
      <c r="F169" s="35" t="n">
        <v>3.0</v>
      </c>
      <c r="G169" s="34" t="s">
        <v>232</v>
      </c>
      <c r="H169" s="34" t="s">
        <v>46</v>
      </c>
      <c r="I169" s="35"/>
      <c r="J169" s="35"/>
      <c r="K169" s="37"/>
    </row>
    <row r="170">
      <c r="A170" s="35" t="s">
        <v>233</v>
      </c>
      <c r="B170" s="34" t="s">
        <v>234</v>
      </c>
      <c r="C170" s="35" t="s">
        <v>217</v>
      </c>
      <c r="D170" s="34" t="s">
        <v>46</v>
      </c>
      <c r="E170" s="34" t="s">
        <v>46</v>
      </c>
      <c r="F170" s="34" t="s">
        <v>46</v>
      </c>
      <c r="G170" s="34" t="s">
        <v>46</v>
      </c>
      <c r="H170" s="34" t="s">
        <v>46</v>
      </c>
      <c r="I170" s="34" t="s">
        <v>46</v>
      </c>
      <c r="J170" s="34" t="s">
        <v>46</v>
      </c>
      <c r="K170" s="34" t="s">
        <v>46</v>
      </c>
    </row>
    <row r="171">
      <c r="A171" s="35" t="s">
        <v>46</v>
      </c>
      <c r="B171" s="34" t="s">
        <v>46</v>
      </c>
      <c r="C171" s="35" t="s">
        <v>46</v>
      </c>
      <c r="D171" s="35" t="s">
        <v>48</v>
      </c>
      <c r="E171" s="34" t="s">
        <v>235</v>
      </c>
      <c r="F171" s="35" t="s">
        <v>46</v>
      </c>
      <c r="G171" s="34" t="s">
        <v>46</v>
      </c>
      <c r="H171" s="34" t="s">
        <v>46</v>
      </c>
      <c r="I171" s="35" t="n">
        <v>4.0</v>
      </c>
      <c r="J171" s="35"/>
      <c r="K171" s="37" t="n">
        <v>1.25</v>
      </c>
    </row>
    <row r="172">
      <c r="A172" s="35" t="s">
        <v>46</v>
      </c>
      <c r="B172" s="34" t="s">
        <v>46</v>
      </c>
      <c r="C172" s="35" t="s">
        <v>46</v>
      </c>
      <c r="D172" s="35" t="s">
        <v>46</v>
      </c>
      <c r="E172" s="34" t="s">
        <v>46</v>
      </c>
      <c r="F172" s="35" t="n">
        <v>0.0</v>
      </c>
      <c r="G172" s="34" t="s">
        <v>236</v>
      </c>
      <c r="H172" s="34" t="s">
        <v>46</v>
      </c>
      <c r="I172" s="35"/>
      <c r="J172" s="35"/>
      <c r="K172" s="37"/>
    </row>
    <row r="173">
      <c r="A173" s="35" t="s">
        <v>46</v>
      </c>
      <c r="B173" s="34" t="s">
        <v>46</v>
      </c>
      <c r="C173" s="35" t="s">
        <v>46</v>
      </c>
      <c r="D173" s="35" t="s">
        <v>46</v>
      </c>
      <c r="E173" s="34" t="s">
        <v>46</v>
      </c>
      <c r="F173" s="35" t="n">
        <v>1.0</v>
      </c>
      <c r="G173" s="34" t="s">
        <v>237</v>
      </c>
      <c r="H173" s="34" t="s">
        <v>46</v>
      </c>
      <c r="I173" s="35"/>
      <c r="J173" s="35"/>
      <c r="K173" s="37"/>
    </row>
    <row r="174">
      <c r="A174" s="35" t="s">
        <v>46</v>
      </c>
      <c r="B174" s="34" t="s">
        <v>46</v>
      </c>
      <c r="C174" s="35" t="s">
        <v>46</v>
      </c>
      <c r="D174" s="35" t="s">
        <v>46</v>
      </c>
      <c r="E174" s="34" t="s">
        <v>46</v>
      </c>
      <c r="F174" s="35" t="n">
        <v>2.0</v>
      </c>
      <c r="G174" s="34" t="s">
        <v>238</v>
      </c>
      <c r="H174" s="34" t="s">
        <v>46</v>
      </c>
      <c r="I174" s="35"/>
      <c r="J174" s="35"/>
      <c r="K174" s="37"/>
    </row>
    <row r="175">
      <c r="A175" s="35" t="s">
        <v>46</v>
      </c>
      <c r="B175" s="34" t="s">
        <v>46</v>
      </c>
      <c r="C175" s="35" t="s">
        <v>46</v>
      </c>
      <c r="D175" s="35" t="s">
        <v>46</v>
      </c>
      <c r="E175" s="34" t="s">
        <v>46</v>
      </c>
      <c r="F175" s="35" t="n">
        <v>3.0</v>
      </c>
      <c r="G175" s="34" t="s">
        <v>239</v>
      </c>
      <c r="H175" s="34" t="s">
        <v>46</v>
      </c>
      <c r="I175" s="35"/>
      <c r="J175" s="35"/>
      <c r="K175" s="37"/>
    </row>
    <row r="176">
      <c r="A176" s="35" t="s">
        <v>46</v>
      </c>
      <c r="B176" s="34" t="s">
        <v>46</v>
      </c>
      <c r="C176" s="35" t="s">
        <v>46</v>
      </c>
      <c r="D176" s="35" t="s">
        <v>48</v>
      </c>
      <c r="E176" s="34" t="s">
        <v>240</v>
      </c>
      <c r="F176" s="35" t="s">
        <v>46</v>
      </c>
      <c r="G176" s="34" t="s">
        <v>46</v>
      </c>
      <c r="H176" s="34" t="s">
        <v>46</v>
      </c>
      <c r="I176" s="35" t="n">
        <v>4.0</v>
      </c>
      <c r="J176" s="35"/>
      <c r="K176" s="37" t="n">
        <v>1.25</v>
      </c>
    </row>
    <row r="177">
      <c r="A177" s="35" t="s">
        <v>46</v>
      </c>
      <c r="B177" s="34" t="s">
        <v>46</v>
      </c>
      <c r="C177" s="35" t="s">
        <v>46</v>
      </c>
      <c r="D177" s="35" t="s">
        <v>46</v>
      </c>
      <c r="E177" s="34" t="s">
        <v>46</v>
      </c>
      <c r="F177" s="35" t="n">
        <v>0.0</v>
      </c>
      <c r="G177" s="34" t="s">
        <v>241</v>
      </c>
      <c r="H177" s="34" t="s">
        <v>46</v>
      </c>
      <c r="I177" s="35"/>
      <c r="J177" s="35"/>
      <c r="K177" s="37"/>
    </row>
    <row r="178">
      <c r="A178" s="35" t="s">
        <v>46</v>
      </c>
      <c r="B178" s="34" t="s">
        <v>46</v>
      </c>
      <c r="C178" s="35" t="s">
        <v>46</v>
      </c>
      <c r="D178" s="35" t="s">
        <v>46</v>
      </c>
      <c r="E178" s="34" t="s">
        <v>46</v>
      </c>
      <c r="F178" s="35" t="n">
        <v>1.0</v>
      </c>
      <c r="G178" s="34" t="s">
        <v>242</v>
      </c>
      <c r="H178" s="34" t="s">
        <v>46</v>
      </c>
      <c r="I178" s="35"/>
      <c r="J178" s="35"/>
      <c r="K178" s="37"/>
    </row>
    <row r="179">
      <c r="A179" s="35" t="s">
        <v>46</v>
      </c>
      <c r="B179" s="34" t="s">
        <v>46</v>
      </c>
      <c r="C179" s="35" t="s">
        <v>46</v>
      </c>
      <c r="D179" s="35" t="s">
        <v>46</v>
      </c>
      <c r="E179" s="34" t="s">
        <v>46</v>
      </c>
      <c r="F179" s="35" t="n">
        <v>2.0</v>
      </c>
      <c r="G179" s="34" t="s">
        <v>243</v>
      </c>
      <c r="H179" s="34" t="s">
        <v>46</v>
      </c>
      <c r="I179" s="35"/>
      <c r="J179" s="35"/>
      <c r="K179" s="37"/>
    </row>
    <row r="180">
      <c r="A180" s="35" t="s">
        <v>46</v>
      </c>
      <c r="B180" s="34" t="s">
        <v>46</v>
      </c>
      <c r="C180" s="35" t="s">
        <v>46</v>
      </c>
      <c r="D180" s="35" t="s">
        <v>46</v>
      </c>
      <c r="E180" s="34" t="s">
        <v>46</v>
      </c>
      <c r="F180" s="35" t="n">
        <v>3.0</v>
      </c>
      <c r="G180" s="34" t="s">
        <v>244</v>
      </c>
      <c r="H180" s="34" t="s">
        <v>46</v>
      </c>
      <c r="I180" s="35"/>
      <c r="J180" s="35"/>
      <c r="K180" s="37"/>
    </row>
    <row r="181">
      <c r="A181" s="35" t="s">
        <v>46</v>
      </c>
      <c r="B181" s="34" t="s">
        <v>46</v>
      </c>
      <c r="C181" s="35" t="s">
        <v>46</v>
      </c>
      <c r="D181" s="35" t="s">
        <v>48</v>
      </c>
      <c r="E181" s="34" t="s">
        <v>245</v>
      </c>
      <c r="F181" s="35" t="s">
        <v>46</v>
      </c>
      <c r="G181" s="34" t="s">
        <v>46</v>
      </c>
      <c r="H181" s="34" t="s">
        <v>46</v>
      </c>
      <c r="I181" s="35" t="n">
        <v>4.0</v>
      </c>
      <c r="J181" s="35"/>
      <c r="K181" s="37" t="n">
        <v>0.5</v>
      </c>
    </row>
    <row r="182">
      <c r="A182" s="35" t="s">
        <v>46</v>
      </c>
      <c r="B182" s="34" t="s">
        <v>46</v>
      </c>
      <c r="C182" s="35" t="s">
        <v>46</v>
      </c>
      <c r="D182" s="35" t="s">
        <v>46</v>
      </c>
      <c r="E182" s="34" t="s">
        <v>46</v>
      </c>
      <c r="F182" s="35" t="n">
        <v>0.0</v>
      </c>
      <c r="G182" s="34" t="s">
        <v>246</v>
      </c>
      <c r="H182" s="34" t="s">
        <v>46</v>
      </c>
      <c r="I182" s="35"/>
      <c r="J182" s="35"/>
      <c r="K182" s="37"/>
    </row>
    <row r="183">
      <c r="A183" s="35" t="s">
        <v>46</v>
      </c>
      <c r="B183" s="34" t="s">
        <v>46</v>
      </c>
      <c r="C183" s="35" t="s">
        <v>46</v>
      </c>
      <c r="D183" s="35" t="s">
        <v>46</v>
      </c>
      <c r="E183" s="34" t="s">
        <v>46</v>
      </c>
      <c r="F183" s="35" t="n">
        <v>1.0</v>
      </c>
      <c r="G183" s="34" t="s">
        <v>247</v>
      </c>
      <c r="H183" s="34" t="s">
        <v>46</v>
      </c>
      <c r="I183" s="35"/>
      <c r="J183" s="35"/>
      <c r="K183" s="37"/>
    </row>
    <row r="184">
      <c r="A184" s="35" t="s">
        <v>46</v>
      </c>
      <c r="B184" s="34" t="s">
        <v>46</v>
      </c>
      <c r="C184" s="35" t="s">
        <v>46</v>
      </c>
      <c r="D184" s="35" t="s">
        <v>46</v>
      </c>
      <c r="E184" s="34" t="s">
        <v>46</v>
      </c>
      <c r="F184" s="35" t="n">
        <v>2.0</v>
      </c>
      <c r="G184" s="34" t="s">
        <v>248</v>
      </c>
      <c r="H184" s="34" t="s">
        <v>46</v>
      </c>
      <c r="I184" s="35"/>
      <c r="J184" s="35"/>
      <c r="K184" s="37"/>
    </row>
    <row r="185">
      <c r="A185" s="35" t="s">
        <v>46</v>
      </c>
      <c r="B185" s="34" t="s">
        <v>46</v>
      </c>
      <c r="C185" s="35" t="s">
        <v>46</v>
      </c>
      <c r="D185" s="35" t="s">
        <v>46</v>
      </c>
      <c r="E185" s="34" t="s">
        <v>46</v>
      </c>
      <c r="F185" s="35" t="n">
        <v>3.0</v>
      </c>
      <c r="G185" s="34" t="s">
        <v>249</v>
      </c>
      <c r="H185" s="34" t="s">
        <v>46</v>
      </c>
      <c r="I185" s="35"/>
      <c r="J185" s="35"/>
      <c r="K185" s="37"/>
    </row>
    <row r="186">
      <c r="A186" s="35" t="s">
        <v>250</v>
      </c>
      <c r="B186" s="34" t="s">
        <v>251</v>
      </c>
      <c r="C186" s="35" t="s">
        <v>217</v>
      </c>
      <c r="D186" s="34" t="s">
        <v>46</v>
      </c>
      <c r="E186" s="34" t="s">
        <v>46</v>
      </c>
      <c r="F186" s="34" t="s">
        <v>46</v>
      </c>
      <c r="G186" s="34" t="s">
        <v>46</v>
      </c>
      <c r="H186" s="34" t="s">
        <v>46</v>
      </c>
      <c r="I186" s="34" t="s">
        <v>46</v>
      </c>
      <c r="J186" s="34" t="s">
        <v>46</v>
      </c>
      <c r="K186" s="34" t="s">
        <v>46</v>
      </c>
    </row>
    <row r="187">
      <c r="A187" s="35" t="s">
        <v>46</v>
      </c>
      <c r="B187" s="34" t="s">
        <v>46</v>
      </c>
      <c r="C187" s="35" t="s">
        <v>46</v>
      </c>
      <c r="D187" s="35" t="s">
        <v>83</v>
      </c>
      <c r="E187" s="34" t="s">
        <v>252</v>
      </c>
      <c r="F187" s="35" t="s">
        <v>46</v>
      </c>
      <c r="G187" s="34" t="s">
        <v>253</v>
      </c>
      <c r="H187" s="34" t="s">
        <v>46</v>
      </c>
      <c r="I187" s="35" t="n">
        <v>3.0</v>
      </c>
      <c r="J187" s="35"/>
      <c r="K187" s="37" t="n">
        <v>0.25</v>
      </c>
    </row>
    <row r="188">
      <c r="A188" s="35" t="s">
        <v>46</v>
      </c>
      <c r="B188" s="34" t="s">
        <v>46</v>
      </c>
      <c r="C188" s="35" t="s">
        <v>46</v>
      </c>
      <c r="D188" s="35" t="s">
        <v>48</v>
      </c>
      <c r="E188" s="34" t="s">
        <v>254</v>
      </c>
      <c r="F188" s="35" t="s">
        <v>46</v>
      </c>
      <c r="G188" s="34" t="s">
        <v>46</v>
      </c>
      <c r="H188" s="34" t="s">
        <v>46</v>
      </c>
      <c r="I188" s="35" t="n">
        <v>2.0</v>
      </c>
      <c r="J188" s="35"/>
      <c r="K188" s="37" t="n">
        <v>1.75</v>
      </c>
    </row>
    <row r="189">
      <c r="A189" s="35" t="s">
        <v>46</v>
      </c>
      <c r="B189" s="34" t="s">
        <v>46</v>
      </c>
      <c r="C189" s="35" t="s">
        <v>46</v>
      </c>
      <c r="D189" s="35" t="s">
        <v>46</v>
      </c>
      <c r="E189" s="34" t="s">
        <v>46</v>
      </c>
      <c r="F189" s="35" t="n">
        <v>0.0</v>
      </c>
      <c r="G189" s="34" t="s">
        <v>255</v>
      </c>
      <c r="H189" s="34" t="s">
        <v>46</v>
      </c>
      <c r="I189" s="35"/>
      <c r="J189" s="35"/>
      <c r="K189" s="37"/>
    </row>
    <row r="190">
      <c r="A190" s="35" t="s">
        <v>46</v>
      </c>
      <c r="B190" s="34" t="s">
        <v>46</v>
      </c>
      <c r="C190" s="35" t="s">
        <v>46</v>
      </c>
      <c r="D190" s="35" t="s">
        <v>46</v>
      </c>
      <c r="E190" s="34" t="s">
        <v>46</v>
      </c>
      <c r="F190" s="35" t="n">
        <v>1.0</v>
      </c>
      <c r="G190" s="34" t="s">
        <v>256</v>
      </c>
      <c r="H190" s="34" t="s">
        <v>46</v>
      </c>
      <c r="I190" s="35"/>
      <c r="J190" s="35"/>
      <c r="K190" s="37"/>
    </row>
    <row r="191">
      <c r="A191" s="35" t="s">
        <v>46</v>
      </c>
      <c r="B191" s="34" t="s">
        <v>46</v>
      </c>
      <c r="C191" s="35" t="s">
        <v>46</v>
      </c>
      <c r="D191" s="35" t="s">
        <v>46</v>
      </c>
      <c r="E191" s="34" t="s">
        <v>46</v>
      </c>
      <c r="F191" s="35" t="n">
        <v>2.0</v>
      </c>
      <c r="G191" s="34" t="s">
        <v>257</v>
      </c>
      <c r="H191" s="34" t="s">
        <v>46</v>
      </c>
      <c r="I191" s="35"/>
      <c r="J191" s="35"/>
      <c r="K191" s="37"/>
    </row>
    <row r="192">
      <c r="A192" s="35" t="s">
        <v>46</v>
      </c>
      <c r="B192" s="34" t="s">
        <v>46</v>
      </c>
      <c r="C192" s="35" t="s">
        <v>46</v>
      </c>
      <c r="D192" s="35" t="s">
        <v>46</v>
      </c>
      <c r="E192" s="34" t="s">
        <v>46</v>
      </c>
      <c r="F192" s="35" t="n">
        <v>3.0</v>
      </c>
      <c r="G192" s="34" t="s">
        <v>258</v>
      </c>
      <c r="H192" s="34" t="s">
        <v>46</v>
      </c>
      <c r="I192" s="35"/>
      <c r="J192" s="35"/>
      <c r="K192" s="37"/>
    </row>
    <row r="193">
      <c r="A193" s="35" t="s">
        <v>46</v>
      </c>
      <c r="B193" s="34" t="s">
        <v>46</v>
      </c>
      <c r="C193" s="35" t="s">
        <v>46</v>
      </c>
      <c r="D193" s="35" t="s">
        <v>48</v>
      </c>
      <c r="E193" s="34" t="s">
        <v>259</v>
      </c>
      <c r="F193" s="35" t="s">
        <v>46</v>
      </c>
      <c r="G193" s="34" t="s">
        <v>46</v>
      </c>
      <c r="H193" s="34" t="s">
        <v>46</v>
      </c>
      <c r="I193" s="35" t="n">
        <v>3.0</v>
      </c>
      <c r="J193" s="35"/>
      <c r="K193" s="37" t="n">
        <v>1.0</v>
      </c>
    </row>
    <row r="194">
      <c r="A194" s="35" t="s">
        <v>46</v>
      </c>
      <c r="B194" s="34" t="s">
        <v>46</v>
      </c>
      <c r="C194" s="35" t="s">
        <v>46</v>
      </c>
      <c r="D194" s="35" t="s">
        <v>46</v>
      </c>
      <c r="E194" s="34" t="s">
        <v>46</v>
      </c>
      <c r="F194" s="35" t="n">
        <v>0.0</v>
      </c>
      <c r="G194" s="34" t="s">
        <v>260</v>
      </c>
      <c r="H194" s="34" t="s">
        <v>46</v>
      </c>
      <c r="I194" s="35"/>
      <c r="J194" s="35"/>
      <c r="K194" s="37"/>
    </row>
    <row r="195">
      <c r="A195" s="35" t="s">
        <v>46</v>
      </c>
      <c r="B195" s="34" t="s">
        <v>46</v>
      </c>
      <c r="C195" s="35" t="s">
        <v>46</v>
      </c>
      <c r="D195" s="35" t="s">
        <v>46</v>
      </c>
      <c r="E195" s="34" t="s">
        <v>46</v>
      </c>
      <c r="F195" s="35" t="n">
        <v>1.0</v>
      </c>
      <c r="G195" s="34" t="s">
        <v>261</v>
      </c>
      <c r="H195" s="34" t="s">
        <v>46</v>
      </c>
      <c r="I195" s="35"/>
      <c r="J195" s="35"/>
      <c r="K195" s="37"/>
    </row>
    <row r="196">
      <c r="A196" s="35" t="s">
        <v>46</v>
      </c>
      <c r="B196" s="34" t="s">
        <v>46</v>
      </c>
      <c r="C196" s="35" t="s">
        <v>46</v>
      </c>
      <c r="D196" s="35" t="s">
        <v>46</v>
      </c>
      <c r="E196" s="34" t="s">
        <v>46</v>
      </c>
      <c r="F196" s="35" t="n">
        <v>2.0</v>
      </c>
      <c r="G196" s="34" t="s">
        <v>262</v>
      </c>
      <c r="H196" s="34" t="s">
        <v>46</v>
      </c>
      <c r="I196" s="35"/>
      <c r="J196" s="35"/>
      <c r="K196" s="37"/>
    </row>
    <row r="197">
      <c r="A197" s="35" t="s">
        <v>46</v>
      </c>
      <c r="B197" s="34" t="s">
        <v>46</v>
      </c>
      <c r="C197" s="35" t="s">
        <v>46</v>
      </c>
      <c r="D197" s="35" t="s">
        <v>46</v>
      </c>
      <c r="E197" s="34" t="s">
        <v>46</v>
      </c>
      <c r="F197" s="35" t="n">
        <v>3.0</v>
      </c>
      <c r="G197" s="34" t="s">
        <v>263</v>
      </c>
      <c r="H197" s="34" t="s">
        <v>46</v>
      </c>
      <c r="I197" s="35"/>
      <c r="J197" s="35"/>
      <c r="K197" s="37"/>
    </row>
    <row r="198">
      <c r="A198" s="35" t="s">
        <v>46</v>
      </c>
      <c r="B198" s="34" t="s">
        <v>46</v>
      </c>
      <c r="C198" s="35" t="s">
        <v>46</v>
      </c>
      <c r="D198" s="35" t="s">
        <v>48</v>
      </c>
      <c r="E198" s="34" t="s">
        <v>264</v>
      </c>
      <c r="F198" s="35" t="s">
        <v>46</v>
      </c>
      <c r="G198" s="34" t="s">
        <v>46</v>
      </c>
      <c r="H198" s="34" t="s">
        <v>46</v>
      </c>
      <c r="I198" s="35" t="n">
        <v>4.0</v>
      </c>
      <c r="J198" s="35"/>
      <c r="K198" s="37" t="n">
        <v>1.5</v>
      </c>
    </row>
    <row r="199">
      <c r="A199" s="35" t="s">
        <v>46</v>
      </c>
      <c r="B199" s="34" t="s">
        <v>46</v>
      </c>
      <c r="C199" s="35" t="s">
        <v>46</v>
      </c>
      <c r="D199" s="35" t="s">
        <v>46</v>
      </c>
      <c r="E199" s="34" t="s">
        <v>46</v>
      </c>
      <c r="F199" s="35" t="n">
        <v>0.0</v>
      </c>
      <c r="G199" s="34" t="s">
        <v>265</v>
      </c>
      <c r="H199" s="34" t="s">
        <v>46</v>
      </c>
      <c r="I199" s="35"/>
      <c r="J199" s="35"/>
      <c r="K199" s="37"/>
    </row>
    <row r="200">
      <c r="A200" s="35" t="s">
        <v>46</v>
      </c>
      <c r="B200" s="34" t="s">
        <v>46</v>
      </c>
      <c r="C200" s="35" t="s">
        <v>46</v>
      </c>
      <c r="D200" s="35" t="s">
        <v>46</v>
      </c>
      <c r="E200" s="34" t="s">
        <v>46</v>
      </c>
      <c r="F200" s="35" t="n">
        <v>1.0</v>
      </c>
      <c r="G200" s="34" t="s">
        <v>266</v>
      </c>
      <c r="H200" s="34" t="s">
        <v>46</v>
      </c>
      <c r="I200" s="35"/>
      <c r="J200" s="35"/>
      <c r="K200" s="37"/>
    </row>
    <row r="201">
      <c r="A201" s="35" t="s">
        <v>46</v>
      </c>
      <c r="B201" s="34" t="s">
        <v>46</v>
      </c>
      <c r="C201" s="35" t="s">
        <v>46</v>
      </c>
      <c r="D201" s="35" t="s">
        <v>46</v>
      </c>
      <c r="E201" s="34" t="s">
        <v>46</v>
      </c>
      <c r="F201" s="35" t="n">
        <v>2.0</v>
      </c>
      <c r="G201" s="34" t="s">
        <v>267</v>
      </c>
      <c r="H201" s="34" t="s">
        <v>46</v>
      </c>
      <c r="I201" s="35"/>
      <c r="J201" s="35"/>
      <c r="K201" s="37"/>
    </row>
    <row r="202">
      <c r="A202" s="35" t="s">
        <v>46</v>
      </c>
      <c r="B202" s="34" t="s">
        <v>46</v>
      </c>
      <c r="C202" s="35" t="s">
        <v>46</v>
      </c>
      <c r="D202" s="35" t="s">
        <v>46</v>
      </c>
      <c r="E202" s="34" t="s">
        <v>46</v>
      </c>
      <c r="F202" s="35" t="n">
        <v>3.0</v>
      </c>
      <c r="G202" s="34" t="s">
        <v>268</v>
      </c>
      <c r="H202" s="34" t="s">
        <v>46</v>
      </c>
      <c r="I202" s="35"/>
      <c r="J202" s="35"/>
      <c r="K202" s="37"/>
    </row>
    <row r="203">
      <c r="A203" s="35" t="s">
        <v>269</v>
      </c>
      <c r="B203" s="34" t="s">
        <v>270</v>
      </c>
      <c r="C203" s="35" t="s">
        <v>217</v>
      </c>
      <c r="D203" s="34" t="s">
        <v>46</v>
      </c>
      <c r="E203" s="34" t="s">
        <v>46</v>
      </c>
      <c r="F203" s="34" t="s">
        <v>46</v>
      </c>
      <c r="G203" s="34" t="s">
        <v>46</v>
      </c>
      <c r="H203" s="34" t="s">
        <v>46</v>
      </c>
      <c r="I203" s="34" t="s">
        <v>46</v>
      </c>
      <c r="J203" s="34" t="s">
        <v>46</v>
      </c>
      <c r="K203" s="34" t="s">
        <v>46</v>
      </c>
    </row>
    <row r="204">
      <c r="A204" s="35" t="s">
        <v>46</v>
      </c>
      <c r="B204" s="34" t="s">
        <v>46</v>
      </c>
      <c r="C204" s="35" t="s">
        <v>46</v>
      </c>
      <c r="D204" s="35" t="s">
        <v>83</v>
      </c>
      <c r="E204" s="34" t="s">
        <v>271</v>
      </c>
      <c r="F204" s="35" t="s">
        <v>46</v>
      </c>
      <c r="G204" s="34" t="s">
        <v>272</v>
      </c>
      <c r="H204" s="34" t="s">
        <v>46</v>
      </c>
      <c r="I204" s="35" t="n">
        <v>1.0</v>
      </c>
      <c r="J204" s="35"/>
      <c r="K204" s="37" t="n">
        <v>1.5</v>
      </c>
    </row>
    <row r="205">
      <c r="A205" s="35" t="s">
        <v>46</v>
      </c>
      <c r="B205" s="34" t="s">
        <v>46</v>
      </c>
      <c r="C205" s="35" t="s">
        <v>46</v>
      </c>
      <c r="D205" s="35" t="s">
        <v>83</v>
      </c>
      <c r="E205" s="34" t="s">
        <v>273</v>
      </c>
      <c r="F205" s="35" t="s">
        <v>46</v>
      </c>
      <c r="G205" s="34" t="s">
        <v>274</v>
      </c>
      <c r="H205" s="34" t="s">
        <v>46</v>
      </c>
      <c r="I205" s="35" t="n">
        <v>5.0</v>
      </c>
      <c r="J205" s="35"/>
      <c r="K205" s="37" t="n">
        <v>1.0</v>
      </c>
    </row>
    <row r="206">
      <c r="A206" s="35" t="s">
        <v>46</v>
      </c>
      <c r="B206" s="34" t="s">
        <v>46</v>
      </c>
      <c r="C206" s="35" t="s">
        <v>46</v>
      </c>
      <c r="D206" s="35" t="s">
        <v>83</v>
      </c>
      <c r="E206" s="34" t="s">
        <v>275</v>
      </c>
      <c r="F206" s="35" t="s">
        <v>46</v>
      </c>
      <c r="G206" s="34" t="s">
        <v>276</v>
      </c>
      <c r="H206" s="34" t="s">
        <v>46</v>
      </c>
      <c r="I206" s="35" t="n">
        <v>5.0</v>
      </c>
      <c r="J206" s="35"/>
      <c r="K206" s="37" t="n">
        <v>0.5</v>
      </c>
    </row>
    <row r="207">
      <c r="A207" s="35" t="s">
        <v>46</v>
      </c>
      <c r="B207" s="34" t="s">
        <v>46</v>
      </c>
      <c r="C207" s="35" t="s">
        <v>46</v>
      </c>
      <c r="D207" s="35" t="s">
        <v>83</v>
      </c>
      <c r="E207" s="34" t="s">
        <v>277</v>
      </c>
      <c r="F207" s="35" t="s">
        <v>46</v>
      </c>
      <c r="G207" s="34" t="s">
        <v>278</v>
      </c>
      <c r="H207" s="34" t="s">
        <v>46</v>
      </c>
      <c r="I207" s="35" t="n">
        <v>5.0</v>
      </c>
      <c r="J207" s="35"/>
      <c r="K207" s="37" t="n">
        <v>0.75</v>
      </c>
    </row>
    <row r="208">
      <c r="A208" s="35" t="s">
        <v>46</v>
      </c>
      <c r="B208" s="34" t="s">
        <v>46</v>
      </c>
      <c r="C208" s="35" t="s">
        <v>46</v>
      </c>
      <c r="D208" s="35" t="s">
        <v>83</v>
      </c>
      <c r="E208" s="34" t="s">
        <v>279</v>
      </c>
      <c r="F208" s="35" t="s">
        <v>46</v>
      </c>
      <c r="G208" s="34" t="s">
        <v>280</v>
      </c>
      <c r="H208" s="34" t="s">
        <v>46</v>
      </c>
      <c r="I208" s="35" t="n">
        <v>3.0</v>
      </c>
      <c r="J208" s="35"/>
      <c r="K208" s="37" t="n">
        <v>0.25</v>
      </c>
    </row>
    <row r="209">
      <c r="A209" s="35" t="s">
        <v>281</v>
      </c>
      <c r="B209" s="34" t="s">
        <v>282</v>
      </c>
      <c r="C209" s="35" t="s">
        <v>217</v>
      </c>
      <c r="D209" s="34" t="s">
        <v>46</v>
      </c>
      <c r="E209" s="34" t="s">
        <v>46</v>
      </c>
      <c r="F209" s="34" t="s">
        <v>46</v>
      </c>
      <c r="G209" s="34" t="s">
        <v>46</v>
      </c>
      <c r="H209" s="34" t="s">
        <v>46</v>
      </c>
      <c r="I209" s="34" t="s">
        <v>46</v>
      </c>
      <c r="J209" s="34" t="s">
        <v>46</v>
      </c>
      <c r="K209" s="34" t="s">
        <v>46</v>
      </c>
    </row>
    <row r="210">
      <c r="A210" s="35" t="s">
        <v>46</v>
      </c>
      <c r="B210" s="34" t="s">
        <v>46</v>
      </c>
      <c r="C210" s="35" t="s">
        <v>46</v>
      </c>
      <c r="D210" s="35" t="s">
        <v>83</v>
      </c>
      <c r="E210" s="34" t="s">
        <v>193</v>
      </c>
      <c r="F210" s="35" t="s">
        <v>46</v>
      </c>
      <c r="G210" s="34" t="s">
        <v>283</v>
      </c>
      <c r="H210" s="34" t="s">
        <v>46</v>
      </c>
      <c r="I210" s="35" t="n">
        <v>5.0</v>
      </c>
      <c r="J210" s="35"/>
      <c r="K210" s="37" t="n">
        <v>0.5</v>
      </c>
    </row>
    <row r="211">
      <c r="A211" s="35" t="s">
        <v>46</v>
      </c>
      <c r="B211" s="34" t="s">
        <v>46</v>
      </c>
      <c r="C211" s="35" t="s">
        <v>46</v>
      </c>
      <c r="D211" s="35" t="s">
        <v>83</v>
      </c>
      <c r="E211" s="34" t="s">
        <v>284</v>
      </c>
      <c r="F211" s="35" t="s">
        <v>46</v>
      </c>
      <c r="G211" s="34" t="s">
        <v>285</v>
      </c>
      <c r="H211" s="34" t="s">
        <v>46</v>
      </c>
      <c r="I211" s="35" t="n">
        <v>2.0</v>
      </c>
      <c r="J211" s="35"/>
      <c r="K211" s="37" t="n">
        <v>0.5</v>
      </c>
    </row>
    <row r="212">
      <c r="A212" s="35" t="s">
        <v>46</v>
      </c>
      <c r="B212" s="34" t="s">
        <v>46</v>
      </c>
      <c r="C212" s="35" t="s">
        <v>46</v>
      </c>
      <c r="D212" s="35" t="s">
        <v>83</v>
      </c>
      <c r="E212" s="34" t="s">
        <v>286</v>
      </c>
      <c r="F212" s="35" t="s">
        <v>46</v>
      </c>
      <c r="G212" s="34" t="s">
        <v>287</v>
      </c>
      <c r="H212" s="34" t="s">
        <v>46</v>
      </c>
      <c r="I212" s="35" t="n">
        <v>5.0</v>
      </c>
      <c r="J212" s="35"/>
      <c r="K212" s="37" t="n">
        <v>0.5</v>
      </c>
    </row>
    <row r="213">
      <c r="A213" s="35" t="s">
        <v>46</v>
      </c>
      <c r="B213" s="34" t="s">
        <v>46</v>
      </c>
      <c r="C213" s="35" t="s">
        <v>46</v>
      </c>
      <c r="D213" s="35" t="s">
        <v>83</v>
      </c>
      <c r="E213" s="34" t="s">
        <v>288</v>
      </c>
      <c r="F213" s="35" t="s">
        <v>46</v>
      </c>
      <c r="G213" s="34" t="s">
        <v>289</v>
      </c>
      <c r="H213" s="34" t="s">
        <v>46</v>
      </c>
      <c r="I213" s="35" t="n">
        <v>1.0</v>
      </c>
      <c r="J213" s="35"/>
      <c r="K213" s="37" t="n">
        <v>0.5</v>
      </c>
    </row>
    <row r="214">
      <c r="A214" s="35" t="s">
        <v>46</v>
      </c>
      <c r="B214" s="34" t="s">
        <v>46</v>
      </c>
      <c r="C214" s="35" t="s">
        <v>46</v>
      </c>
      <c r="D214" s="35" t="s">
        <v>83</v>
      </c>
      <c r="E214" s="34" t="s">
        <v>191</v>
      </c>
      <c r="F214" s="35" t="s">
        <v>46</v>
      </c>
      <c r="G214" s="34" t="s">
        <v>290</v>
      </c>
      <c r="H214" s="34" t="s">
        <v>46</v>
      </c>
      <c r="I214" s="35" t="n">
        <v>5.0</v>
      </c>
      <c r="J214" s="35"/>
      <c r="K214" s="37" t="n">
        <v>0.75</v>
      </c>
    </row>
    <row r="215">
      <c r="A215" s="35" t="s">
        <v>46</v>
      </c>
      <c r="B215" s="34" t="s">
        <v>46</v>
      </c>
      <c r="C215" s="35" t="s">
        <v>46</v>
      </c>
      <c r="D215" s="35" t="s">
        <v>83</v>
      </c>
      <c r="E215" s="34" t="s">
        <v>291</v>
      </c>
      <c r="F215" s="35" t="s">
        <v>46</v>
      </c>
      <c r="G215" s="34" t="s">
        <v>292</v>
      </c>
      <c r="H215" s="34" t="s">
        <v>46</v>
      </c>
      <c r="I215" s="35" t="n">
        <v>5.0</v>
      </c>
      <c r="J215" s="35"/>
      <c r="K215" s="37" t="n">
        <v>0.5</v>
      </c>
    </row>
    <row r="216">
      <c r="A216" s="35" t="s">
        <v>293</v>
      </c>
      <c r="B216" s="34" t="s">
        <v>294</v>
      </c>
      <c r="C216" s="35" t="s">
        <v>217</v>
      </c>
      <c r="D216" s="34" t="s">
        <v>46</v>
      </c>
      <c r="E216" s="34" t="s">
        <v>46</v>
      </c>
      <c r="F216" s="34" t="s">
        <v>46</v>
      </c>
      <c r="G216" s="34" t="s">
        <v>46</v>
      </c>
      <c r="H216" s="34" t="s">
        <v>46</v>
      </c>
      <c r="I216" s="34" t="s">
        <v>46</v>
      </c>
      <c r="J216" s="34" t="s">
        <v>46</v>
      </c>
      <c r="K216" s="34" t="s">
        <v>46</v>
      </c>
    </row>
    <row r="217">
      <c r="A217" s="35" t="s">
        <v>46</v>
      </c>
      <c r="B217" s="34" t="s">
        <v>46</v>
      </c>
      <c r="C217" s="35" t="s">
        <v>46</v>
      </c>
      <c r="D217" s="35" t="s">
        <v>83</v>
      </c>
      <c r="E217" s="34" t="s">
        <v>295</v>
      </c>
      <c r="F217" s="35" t="s">
        <v>46</v>
      </c>
      <c r="G217" s="34" t="s">
        <v>296</v>
      </c>
      <c r="H217" s="34" t="s">
        <v>46</v>
      </c>
      <c r="I217" s="35" t="n">
        <v>5.0</v>
      </c>
      <c r="J217" s="35"/>
      <c r="K217" s="37" t="n">
        <v>1.0</v>
      </c>
    </row>
    <row r="218">
      <c r="A218" s="35" t="s">
        <v>46</v>
      </c>
      <c r="B218" s="34" t="s">
        <v>46</v>
      </c>
      <c r="C218" s="35" t="s">
        <v>46</v>
      </c>
      <c r="D218" s="35" t="s">
        <v>83</v>
      </c>
      <c r="E218" s="34" t="s">
        <v>297</v>
      </c>
      <c r="F218" s="35" t="s">
        <v>46</v>
      </c>
      <c r="G218" s="34" t="s">
        <v>298</v>
      </c>
      <c r="H218" s="34" t="s">
        <v>46</v>
      </c>
      <c r="I218" s="35" t="n">
        <v>5.0</v>
      </c>
      <c r="J218" s="35"/>
      <c r="K218" s="37" t="n">
        <v>1.5</v>
      </c>
    </row>
    <row r="219">
      <c r="A219" s="35" t="s">
        <v>46</v>
      </c>
      <c r="B219" s="34" t="s">
        <v>46</v>
      </c>
      <c r="C219" s="35" t="s">
        <v>46</v>
      </c>
      <c r="D219" s="35" t="s">
        <v>83</v>
      </c>
      <c r="E219" s="34" t="s">
        <v>299</v>
      </c>
      <c r="F219" s="35" t="s">
        <v>46</v>
      </c>
      <c r="G219" s="34" t="s">
        <v>300</v>
      </c>
      <c r="H219" s="34" t="s">
        <v>46</v>
      </c>
      <c r="I219" s="35" t="n">
        <v>5.0</v>
      </c>
      <c r="J219" s="35"/>
      <c r="K219" s="37" t="n">
        <v>1.75</v>
      </c>
    </row>
    <row r="220">
      <c r="A220" s="35" t="s">
        <v>46</v>
      </c>
      <c r="B220" s="34" t="s">
        <v>46</v>
      </c>
      <c r="C220" s="35" t="s">
        <v>46</v>
      </c>
      <c r="D220" s="35" t="s">
        <v>83</v>
      </c>
      <c r="E220" s="34" t="s">
        <v>301</v>
      </c>
      <c r="F220" s="35" t="s">
        <v>46</v>
      </c>
      <c r="G220" s="34" t="s">
        <v>302</v>
      </c>
      <c r="H220" s="34" t="s">
        <v>46</v>
      </c>
      <c r="I220" s="35" t="n">
        <v>5.0</v>
      </c>
      <c r="J220" s="35"/>
      <c r="K220" s="37" t="n">
        <v>0.75</v>
      </c>
    </row>
    <row r="221">
      <c r="A221" s="35" t="s">
        <v>46</v>
      </c>
      <c r="B221" s="34" t="s">
        <v>46</v>
      </c>
      <c r="C221" s="35" t="s">
        <v>46</v>
      </c>
      <c r="D221" s="35" t="s">
        <v>83</v>
      </c>
      <c r="E221" s="34" t="s">
        <v>114</v>
      </c>
      <c r="F221" s="35" t="s">
        <v>46</v>
      </c>
      <c r="G221" s="34" t="s">
        <v>303</v>
      </c>
      <c r="H221" s="34" t="s">
        <v>46</v>
      </c>
      <c r="I221" s="35" t="n">
        <v>3.0</v>
      </c>
      <c r="J221" s="35"/>
      <c r="K221" s="37" t="n">
        <v>1.0</v>
      </c>
    </row>
    <row r="222">
      <c r="A222" s="35" t="s">
        <v>46</v>
      </c>
      <c r="B222" s="34" t="s">
        <v>46</v>
      </c>
      <c r="C222" s="35" t="s">
        <v>46</v>
      </c>
      <c r="D222" s="35" t="s">
        <v>46</v>
      </c>
      <c r="E222" s="34" t="s">
        <v>46</v>
      </c>
      <c r="F222" s="35" t="s">
        <v>46</v>
      </c>
      <c r="G222" s="34" t="s">
        <v>46</v>
      </c>
      <c r="H222" s="34" t="s">
        <v>46</v>
      </c>
      <c r="I222" s="35"/>
      <c r="J222" s="35"/>
      <c r="K222" s="37"/>
    </row>
    <row r="223">
      <c r="A223" s="35" t="s">
        <v>46</v>
      </c>
      <c r="B223" s="34" t="s">
        <v>46</v>
      </c>
      <c r="C223" s="35" t="s">
        <v>46</v>
      </c>
      <c r="D223" s="35" t="s">
        <v>46</v>
      </c>
      <c r="E223" s="34" t="s">
        <v>46</v>
      </c>
      <c r="F223" s="35" t="s">
        <v>46</v>
      </c>
      <c r="G223" s="34" t="s">
        <v>46</v>
      </c>
      <c r="H223" s="34" t="s">
        <v>46</v>
      </c>
      <c r="I223" s="35"/>
      <c r="J223" s="35"/>
      <c r="K223" s="37"/>
    </row>
    <row r="224">
      <c r="A224" s="72" t="s">
        <v>15</v>
      </c>
      <c r="B224" s="73" t="s">
        <v>16</v>
      </c>
      <c r="C224" s="74" t="s">
        <v>10</v>
      </c>
      <c r="D224" s="75" t="s">
        <v>6</v>
      </c>
      <c r="E224" s="76" t="s">
        <v>1</v>
      </c>
      <c r="F224" s="77" t="s">
        <v>2</v>
      </c>
      <c r="G224" s="78" t="s">
        <v>8</v>
      </c>
      <c r="H224" s="79" t="s">
        <v>9</v>
      </c>
      <c r="I224" s="80" t="s">
        <v>23</v>
      </c>
      <c r="J224" s="81" t="s">
        <v>11</v>
      </c>
      <c r="K224" s="82" t="s">
        <v>3</v>
      </c>
      <c r="L224" s="83" t="s">
        <v>304</v>
      </c>
      <c r="M224" s="84" t="s">
        <v>4</v>
      </c>
      <c r="N224" s="85">
        <f>SUM(K225:K292)</f>
      </c>
    </row>
    <row r="225">
      <c r="A225" s="35" t="s">
        <v>305</v>
      </c>
      <c r="B225" s="34" t="s">
        <v>306</v>
      </c>
      <c r="C225" s="35" t="s">
        <v>307</v>
      </c>
      <c r="D225" s="34" t="s">
        <v>46</v>
      </c>
      <c r="E225" s="34" t="s">
        <v>46</v>
      </c>
      <c r="F225" s="34" t="s">
        <v>46</v>
      </c>
      <c r="G225" s="34" t="s">
        <v>46</v>
      </c>
      <c r="H225" s="34" t="s">
        <v>46</v>
      </c>
      <c r="I225" s="34" t="s">
        <v>46</v>
      </c>
      <c r="J225" s="34" t="s">
        <v>46</v>
      </c>
      <c r="K225" s="34" t="s">
        <v>46</v>
      </c>
    </row>
    <row r="226">
      <c r="A226" s="35" t="s">
        <v>46</v>
      </c>
      <c r="B226" s="34" t="s">
        <v>46</v>
      </c>
      <c r="C226" s="35" t="s">
        <v>46</v>
      </c>
      <c r="D226" s="35" t="s">
        <v>48</v>
      </c>
      <c r="E226" s="34" t="s">
        <v>308</v>
      </c>
      <c r="F226" s="35" t="s">
        <v>46</v>
      </c>
      <c r="G226" s="34" t="s">
        <v>46</v>
      </c>
      <c r="H226" s="34" t="s">
        <v>46</v>
      </c>
      <c r="I226" s="35" t="n">
        <v>4.0</v>
      </c>
      <c r="J226" s="35"/>
      <c r="K226" s="37" t="n">
        <v>1.25</v>
      </c>
    </row>
    <row r="227">
      <c r="A227" s="35" t="s">
        <v>46</v>
      </c>
      <c r="B227" s="34" t="s">
        <v>46</v>
      </c>
      <c r="C227" s="35" t="s">
        <v>46</v>
      </c>
      <c r="D227" s="35" t="s">
        <v>46</v>
      </c>
      <c r="E227" s="34" t="s">
        <v>46</v>
      </c>
      <c r="F227" s="35" t="n">
        <v>0.0</v>
      </c>
      <c r="G227" s="34" t="s">
        <v>309</v>
      </c>
      <c r="H227" s="34" t="s">
        <v>46</v>
      </c>
      <c r="I227" s="35"/>
      <c r="J227" s="35"/>
      <c r="K227" s="37"/>
    </row>
    <row r="228">
      <c r="A228" s="35" t="s">
        <v>46</v>
      </c>
      <c r="B228" s="34" t="s">
        <v>46</v>
      </c>
      <c r="C228" s="35" t="s">
        <v>46</v>
      </c>
      <c r="D228" s="35" t="s">
        <v>46</v>
      </c>
      <c r="E228" s="34" t="s">
        <v>46</v>
      </c>
      <c r="F228" s="35" t="n">
        <v>1.0</v>
      </c>
      <c r="G228" s="34" t="s">
        <v>310</v>
      </c>
      <c r="H228" s="34" t="s">
        <v>46</v>
      </c>
      <c r="I228" s="35"/>
      <c r="J228" s="35"/>
      <c r="K228" s="37"/>
    </row>
    <row r="229">
      <c r="A229" s="35" t="s">
        <v>46</v>
      </c>
      <c r="B229" s="34" t="s">
        <v>46</v>
      </c>
      <c r="C229" s="35" t="s">
        <v>46</v>
      </c>
      <c r="D229" s="35" t="s">
        <v>46</v>
      </c>
      <c r="E229" s="34" t="s">
        <v>46</v>
      </c>
      <c r="F229" s="35" t="n">
        <v>2.0</v>
      </c>
      <c r="G229" s="34" t="s">
        <v>311</v>
      </c>
      <c r="H229" s="34" t="s">
        <v>46</v>
      </c>
      <c r="I229" s="35"/>
      <c r="J229" s="35"/>
      <c r="K229" s="37"/>
    </row>
    <row r="230">
      <c r="A230" s="35" t="s">
        <v>46</v>
      </c>
      <c r="B230" s="34" t="s">
        <v>46</v>
      </c>
      <c r="C230" s="35" t="s">
        <v>46</v>
      </c>
      <c r="D230" s="35" t="s">
        <v>46</v>
      </c>
      <c r="E230" s="34" t="s">
        <v>46</v>
      </c>
      <c r="F230" s="35" t="n">
        <v>3.0</v>
      </c>
      <c r="G230" s="34" t="s">
        <v>312</v>
      </c>
      <c r="H230" s="34" t="s">
        <v>46</v>
      </c>
      <c r="I230" s="35"/>
      <c r="J230" s="35"/>
      <c r="K230" s="37"/>
    </row>
    <row r="231">
      <c r="A231" s="35" t="s">
        <v>46</v>
      </c>
      <c r="B231" s="34" t="s">
        <v>46</v>
      </c>
      <c r="C231" s="35" t="s">
        <v>46</v>
      </c>
      <c r="D231" s="35" t="s">
        <v>48</v>
      </c>
      <c r="E231" s="34" t="s">
        <v>313</v>
      </c>
      <c r="F231" s="35" t="s">
        <v>46</v>
      </c>
      <c r="G231" s="34" t="s">
        <v>46</v>
      </c>
      <c r="H231" s="34" t="s">
        <v>46</v>
      </c>
      <c r="I231" s="35" t="n">
        <v>4.0</v>
      </c>
      <c r="J231" s="35"/>
      <c r="K231" s="37" t="n">
        <v>1.25</v>
      </c>
    </row>
    <row r="232">
      <c r="A232" s="35" t="s">
        <v>46</v>
      </c>
      <c r="B232" s="34" t="s">
        <v>46</v>
      </c>
      <c r="C232" s="35" t="s">
        <v>46</v>
      </c>
      <c r="D232" s="35" t="s">
        <v>46</v>
      </c>
      <c r="E232" s="34" t="s">
        <v>46</v>
      </c>
      <c r="F232" s="35" t="n">
        <v>0.0</v>
      </c>
      <c r="G232" s="34" t="s">
        <v>314</v>
      </c>
      <c r="H232" s="34" t="s">
        <v>46</v>
      </c>
      <c r="I232" s="35"/>
      <c r="J232" s="35"/>
      <c r="K232" s="37"/>
    </row>
    <row r="233">
      <c r="A233" s="35" t="s">
        <v>46</v>
      </c>
      <c r="B233" s="34" t="s">
        <v>46</v>
      </c>
      <c r="C233" s="35" t="s">
        <v>46</v>
      </c>
      <c r="D233" s="35" t="s">
        <v>46</v>
      </c>
      <c r="E233" s="34" t="s">
        <v>46</v>
      </c>
      <c r="F233" s="35" t="n">
        <v>1.0</v>
      </c>
      <c r="G233" s="34" t="s">
        <v>310</v>
      </c>
      <c r="H233" s="34" t="s">
        <v>46</v>
      </c>
      <c r="I233" s="35"/>
      <c r="J233" s="35"/>
      <c r="K233" s="37"/>
    </row>
    <row r="234">
      <c r="A234" s="35" t="s">
        <v>46</v>
      </c>
      <c r="B234" s="34" t="s">
        <v>46</v>
      </c>
      <c r="C234" s="35" t="s">
        <v>46</v>
      </c>
      <c r="D234" s="35" t="s">
        <v>46</v>
      </c>
      <c r="E234" s="34" t="s">
        <v>46</v>
      </c>
      <c r="F234" s="35" t="n">
        <v>2.0</v>
      </c>
      <c r="G234" s="34" t="s">
        <v>311</v>
      </c>
      <c r="H234" s="34" t="s">
        <v>46</v>
      </c>
      <c r="I234" s="35"/>
      <c r="J234" s="35"/>
      <c r="K234" s="37"/>
    </row>
    <row r="235">
      <c r="A235" s="35" t="s">
        <v>46</v>
      </c>
      <c r="B235" s="34" t="s">
        <v>46</v>
      </c>
      <c r="C235" s="35" t="s">
        <v>46</v>
      </c>
      <c r="D235" s="35" t="s">
        <v>46</v>
      </c>
      <c r="E235" s="34" t="s">
        <v>46</v>
      </c>
      <c r="F235" s="35" t="n">
        <v>3.0</v>
      </c>
      <c r="G235" s="34" t="s">
        <v>315</v>
      </c>
      <c r="H235" s="34" t="s">
        <v>46</v>
      </c>
      <c r="I235" s="35"/>
      <c r="J235" s="35"/>
      <c r="K235" s="37"/>
    </row>
    <row r="236">
      <c r="A236" s="35" t="s">
        <v>46</v>
      </c>
      <c r="B236" s="34" t="s">
        <v>46</v>
      </c>
      <c r="C236" s="35" t="s">
        <v>46</v>
      </c>
      <c r="D236" s="35" t="s">
        <v>48</v>
      </c>
      <c r="E236" s="34" t="s">
        <v>316</v>
      </c>
      <c r="F236" s="35" t="s">
        <v>46</v>
      </c>
      <c r="G236" s="34" t="s">
        <v>46</v>
      </c>
      <c r="H236" s="34" t="s">
        <v>46</v>
      </c>
      <c r="I236" s="35" t="n">
        <v>4.0</v>
      </c>
      <c r="J236" s="35"/>
      <c r="K236" s="37" t="n">
        <v>1.25</v>
      </c>
    </row>
    <row r="237">
      <c r="A237" s="35" t="s">
        <v>46</v>
      </c>
      <c r="B237" s="34" t="s">
        <v>46</v>
      </c>
      <c r="C237" s="35" t="s">
        <v>46</v>
      </c>
      <c r="D237" s="35" t="s">
        <v>46</v>
      </c>
      <c r="E237" s="34" t="s">
        <v>46</v>
      </c>
      <c r="F237" s="35" t="n">
        <v>0.0</v>
      </c>
      <c r="G237" s="34" t="s">
        <v>317</v>
      </c>
      <c r="H237" s="34" t="s">
        <v>46</v>
      </c>
      <c r="I237" s="35"/>
      <c r="J237" s="35"/>
      <c r="K237" s="37"/>
    </row>
    <row r="238">
      <c r="A238" s="35" t="s">
        <v>46</v>
      </c>
      <c r="B238" s="34" t="s">
        <v>46</v>
      </c>
      <c r="C238" s="35" t="s">
        <v>46</v>
      </c>
      <c r="D238" s="35" t="s">
        <v>46</v>
      </c>
      <c r="E238" s="34" t="s">
        <v>46</v>
      </c>
      <c r="F238" s="35" t="n">
        <v>1.0</v>
      </c>
      <c r="G238" s="34" t="s">
        <v>310</v>
      </c>
      <c r="H238" s="34" t="s">
        <v>46</v>
      </c>
      <c r="I238" s="35"/>
      <c r="J238" s="35"/>
      <c r="K238" s="37"/>
    </row>
    <row r="239">
      <c r="A239" s="35" t="s">
        <v>46</v>
      </c>
      <c r="B239" s="34" t="s">
        <v>46</v>
      </c>
      <c r="C239" s="35" t="s">
        <v>46</v>
      </c>
      <c r="D239" s="35" t="s">
        <v>46</v>
      </c>
      <c r="E239" s="34" t="s">
        <v>46</v>
      </c>
      <c r="F239" s="35" t="n">
        <v>2.0</v>
      </c>
      <c r="G239" s="34" t="s">
        <v>311</v>
      </c>
      <c r="H239" s="34" t="s">
        <v>46</v>
      </c>
      <c r="I239" s="35"/>
      <c r="J239" s="35"/>
      <c r="K239" s="37"/>
    </row>
    <row r="240">
      <c r="A240" s="35" t="s">
        <v>46</v>
      </c>
      <c r="B240" s="34" t="s">
        <v>46</v>
      </c>
      <c r="C240" s="35" t="s">
        <v>46</v>
      </c>
      <c r="D240" s="35" t="s">
        <v>46</v>
      </c>
      <c r="E240" s="34" t="s">
        <v>46</v>
      </c>
      <c r="F240" s="35" t="n">
        <v>3.0</v>
      </c>
      <c r="G240" s="34" t="s">
        <v>318</v>
      </c>
      <c r="H240" s="34" t="s">
        <v>46</v>
      </c>
      <c r="I240" s="35"/>
      <c r="J240" s="35"/>
      <c r="K240" s="37"/>
    </row>
    <row r="241">
      <c r="A241" s="35" t="s">
        <v>319</v>
      </c>
      <c r="B241" s="34" t="s">
        <v>320</v>
      </c>
      <c r="C241" s="35" t="s">
        <v>307</v>
      </c>
      <c r="D241" s="34" t="s">
        <v>46</v>
      </c>
      <c r="E241" s="34" t="s">
        <v>46</v>
      </c>
      <c r="F241" s="34" t="s">
        <v>46</v>
      </c>
      <c r="G241" s="34" t="s">
        <v>46</v>
      </c>
      <c r="H241" s="34" t="s">
        <v>46</v>
      </c>
      <c r="I241" s="34" t="s">
        <v>46</v>
      </c>
      <c r="J241" s="34" t="s">
        <v>46</v>
      </c>
      <c r="K241" s="34" t="s">
        <v>46</v>
      </c>
    </row>
    <row r="242">
      <c r="A242" s="35" t="s">
        <v>46</v>
      </c>
      <c r="B242" s="34" t="s">
        <v>46</v>
      </c>
      <c r="C242" s="35" t="s">
        <v>46</v>
      </c>
      <c r="D242" s="35" t="s">
        <v>48</v>
      </c>
      <c r="E242" s="34" t="s">
        <v>321</v>
      </c>
      <c r="F242" s="35" t="s">
        <v>46</v>
      </c>
      <c r="G242" s="34" t="s">
        <v>46</v>
      </c>
      <c r="H242" s="34" t="s">
        <v>46</v>
      </c>
      <c r="I242" s="35" t="n">
        <v>4.0</v>
      </c>
      <c r="J242" s="35"/>
      <c r="K242" s="37" t="n">
        <v>1.5</v>
      </c>
    </row>
    <row r="243">
      <c r="A243" s="35" t="s">
        <v>46</v>
      </c>
      <c r="B243" s="34" t="s">
        <v>46</v>
      </c>
      <c r="C243" s="35" t="s">
        <v>46</v>
      </c>
      <c r="D243" s="35" t="s">
        <v>46</v>
      </c>
      <c r="E243" s="34" t="s">
        <v>46</v>
      </c>
      <c r="F243" s="35" t="n">
        <v>0.0</v>
      </c>
      <c r="G243" s="34" t="s">
        <v>322</v>
      </c>
      <c r="H243" s="34" t="s">
        <v>46</v>
      </c>
      <c r="I243" s="35"/>
      <c r="J243" s="35"/>
      <c r="K243" s="37"/>
    </row>
    <row r="244">
      <c r="A244" s="35" t="s">
        <v>46</v>
      </c>
      <c r="B244" s="34" t="s">
        <v>46</v>
      </c>
      <c r="C244" s="35" t="s">
        <v>46</v>
      </c>
      <c r="D244" s="35" t="s">
        <v>46</v>
      </c>
      <c r="E244" s="34" t="s">
        <v>46</v>
      </c>
      <c r="F244" s="35" t="n">
        <v>1.0</v>
      </c>
      <c r="G244" s="34" t="s">
        <v>323</v>
      </c>
      <c r="H244" s="34" t="s">
        <v>46</v>
      </c>
      <c r="I244" s="35"/>
      <c r="J244" s="35"/>
      <c r="K244" s="37"/>
    </row>
    <row r="245">
      <c r="A245" s="35" t="s">
        <v>46</v>
      </c>
      <c r="B245" s="34" t="s">
        <v>46</v>
      </c>
      <c r="C245" s="35" t="s">
        <v>46</v>
      </c>
      <c r="D245" s="35" t="s">
        <v>46</v>
      </c>
      <c r="E245" s="34" t="s">
        <v>46</v>
      </c>
      <c r="F245" s="35" t="n">
        <v>2.0</v>
      </c>
      <c r="G245" s="34" t="s">
        <v>324</v>
      </c>
      <c r="H245" s="34" t="s">
        <v>46</v>
      </c>
      <c r="I245" s="35"/>
      <c r="J245" s="35"/>
      <c r="K245" s="37"/>
    </row>
    <row r="246">
      <c r="A246" s="35" t="s">
        <v>46</v>
      </c>
      <c r="B246" s="34" t="s">
        <v>46</v>
      </c>
      <c r="C246" s="35" t="s">
        <v>46</v>
      </c>
      <c r="D246" s="35" t="s">
        <v>46</v>
      </c>
      <c r="E246" s="34" t="s">
        <v>46</v>
      </c>
      <c r="F246" s="35" t="n">
        <v>3.0</v>
      </c>
      <c r="G246" s="34" t="s">
        <v>325</v>
      </c>
      <c r="H246" s="34" t="s">
        <v>46</v>
      </c>
      <c r="I246" s="35"/>
      <c r="J246" s="35"/>
      <c r="K246" s="37"/>
    </row>
    <row r="247">
      <c r="A247" s="35" t="s">
        <v>46</v>
      </c>
      <c r="B247" s="34" t="s">
        <v>46</v>
      </c>
      <c r="C247" s="35" t="s">
        <v>46</v>
      </c>
      <c r="D247" s="35" t="s">
        <v>48</v>
      </c>
      <c r="E247" s="34" t="s">
        <v>326</v>
      </c>
      <c r="F247" s="35" t="s">
        <v>46</v>
      </c>
      <c r="G247" s="34" t="s">
        <v>46</v>
      </c>
      <c r="H247" s="34" t="s">
        <v>46</v>
      </c>
      <c r="I247" s="35" t="n">
        <v>3.0</v>
      </c>
      <c r="J247" s="35"/>
      <c r="K247" s="37" t="n">
        <v>1.25</v>
      </c>
    </row>
    <row r="248">
      <c r="A248" s="35" t="s">
        <v>46</v>
      </c>
      <c r="B248" s="34" t="s">
        <v>46</v>
      </c>
      <c r="C248" s="35" t="s">
        <v>46</v>
      </c>
      <c r="D248" s="35" t="s">
        <v>46</v>
      </c>
      <c r="E248" s="34" t="s">
        <v>46</v>
      </c>
      <c r="F248" s="35" t="n">
        <v>0.0</v>
      </c>
      <c r="G248" s="34" t="s">
        <v>327</v>
      </c>
      <c r="H248" s="34" t="s">
        <v>46</v>
      </c>
      <c r="I248" s="35"/>
      <c r="J248" s="35"/>
      <c r="K248" s="37"/>
    </row>
    <row r="249">
      <c r="A249" s="35" t="s">
        <v>46</v>
      </c>
      <c r="B249" s="34" t="s">
        <v>46</v>
      </c>
      <c r="C249" s="35" t="s">
        <v>46</v>
      </c>
      <c r="D249" s="35" t="s">
        <v>46</v>
      </c>
      <c r="E249" s="34" t="s">
        <v>46</v>
      </c>
      <c r="F249" s="35" t="n">
        <v>1.0</v>
      </c>
      <c r="G249" s="34" t="s">
        <v>328</v>
      </c>
      <c r="H249" s="34" t="s">
        <v>46</v>
      </c>
      <c r="I249" s="35"/>
      <c r="J249" s="35"/>
      <c r="K249" s="37"/>
    </row>
    <row r="250">
      <c r="A250" s="35" t="s">
        <v>46</v>
      </c>
      <c r="B250" s="34" t="s">
        <v>46</v>
      </c>
      <c r="C250" s="35" t="s">
        <v>46</v>
      </c>
      <c r="D250" s="35" t="s">
        <v>46</v>
      </c>
      <c r="E250" s="34" t="s">
        <v>46</v>
      </c>
      <c r="F250" s="35" t="n">
        <v>2.0</v>
      </c>
      <c r="G250" s="34" t="s">
        <v>329</v>
      </c>
      <c r="H250" s="34" t="s">
        <v>46</v>
      </c>
      <c r="I250" s="35"/>
      <c r="J250" s="35"/>
      <c r="K250" s="37"/>
    </row>
    <row r="251">
      <c r="A251" s="35" t="s">
        <v>46</v>
      </c>
      <c r="B251" s="34" t="s">
        <v>46</v>
      </c>
      <c r="C251" s="35" t="s">
        <v>46</v>
      </c>
      <c r="D251" s="35" t="s">
        <v>46</v>
      </c>
      <c r="E251" s="34" t="s">
        <v>46</v>
      </c>
      <c r="F251" s="35" t="n">
        <v>3.0</v>
      </c>
      <c r="G251" s="34" t="s">
        <v>330</v>
      </c>
      <c r="H251" s="34" t="s">
        <v>46</v>
      </c>
      <c r="I251" s="35"/>
      <c r="J251" s="35"/>
      <c r="K251" s="37"/>
    </row>
    <row r="252">
      <c r="A252" s="35" t="s">
        <v>46</v>
      </c>
      <c r="B252" s="34" t="s">
        <v>46</v>
      </c>
      <c r="C252" s="35" t="s">
        <v>46</v>
      </c>
      <c r="D252" s="35" t="s">
        <v>48</v>
      </c>
      <c r="E252" s="34" t="s">
        <v>331</v>
      </c>
      <c r="F252" s="35" t="s">
        <v>46</v>
      </c>
      <c r="G252" s="34" t="s">
        <v>46</v>
      </c>
      <c r="H252" s="34" t="s">
        <v>46</v>
      </c>
      <c r="I252" s="35" t="n">
        <v>5.0</v>
      </c>
      <c r="J252" s="35"/>
      <c r="K252" s="37" t="n">
        <v>1.25</v>
      </c>
    </row>
    <row r="253">
      <c r="A253" s="35" t="s">
        <v>46</v>
      </c>
      <c r="B253" s="34" t="s">
        <v>46</v>
      </c>
      <c r="C253" s="35" t="s">
        <v>46</v>
      </c>
      <c r="D253" s="35" t="s">
        <v>46</v>
      </c>
      <c r="E253" s="34" t="s">
        <v>46</v>
      </c>
      <c r="F253" s="35" t="n">
        <v>0.0</v>
      </c>
      <c r="G253" s="34" t="s">
        <v>332</v>
      </c>
      <c r="H253" s="34" t="s">
        <v>46</v>
      </c>
      <c r="I253" s="35"/>
      <c r="J253" s="35"/>
      <c r="K253" s="37"/>
    </row>
    <row r="254">
      <c r="A254" s="35" t="s">
        <v>46</v>
      </c>
      <c r="B254" s="34" t="s">
        <v>46</v>
      </c>
      <c r="C254" s="35" t="s">
        <v>46</v>
      </c>
      <c r="D254" s="35" t="s">
        <v>46</v>
      </c>
      <c r="E254" s="34" t="s">
        <v>46</v>
      </c>
      <c r="F254" s="35" t="n">
        <v>1.0</v>
      </c>
      <c r="G254" s="34" t="s">
        <v>333</v>
      </c>
      <c r="H254" s="34" t="s">
        <v>46</v>
      </c>
      <c r="I254" s="35"/>
      <c r="J254" s="35"/>
      <c r="K254" s="37"/>
    </row>
    <row r="255">
      <c r="A255" s="35" t="s">
        <v>46</v>
      </c>
      <c r="B255" s="34" t="s">
        <v>46</v>
      </c>
      <c r="C255" s="35" t="s">
        <v>46</v>
      </c>
      <c r="D255" s="35" t="s">
        <v>46</v>
      </c>
      <c r="E255" s="34" t="s">
        <v>46</v>
      </c>
      <c r="F255" s="35" t="n">
        <v>2.0</v>
      </c>
      <c r="G255" s="34" t="s">
        <v>334</v>
      </c>
      <c r="H255" s="34" t="s">
        <v>46</v>
      </c>
      <c r="I255" s="35"/>
      <c r="J255" s="35"/>
      <c r="K255" s="37"/>
    </row>
    <row r="256">
      <c r="A256" s="35" t="s">
        <v>46</v>
      </c>
      <c r="B256" s="34" t="s">
        <v>46</v>
      </c>
      <c r="C256" s="35" t="s">
        <v>46</v>
      </c>
      <c r="D256" s="35" t="s">
        <v>46</v>
      </c>
      <c r="E256" s="34" t="s">
        <v>46</v>
      </c>
      <c r="F256" s="35" t="n">
        <v>3.0</v>
      </c>
      <c r="G256" s="34" t="s">
        <v>335</v>
      </c>
      <c r="H256" s="34" t="s">
        <v>46</v>
      </c>
      <c r="I256" s="35"/>
      <c r="J256" s="35"/>
      <c r="K256" s="37"/>
    </row>
    <row r="257">
      <c r="A257" s="35" t="s">
        <v>336</v>
      </c>
      <c r="B257" s="34" t="s">
        <v>337</v>
      </c>
      <c r="C257" s="35" t="s">
        <v>307</v>
      </c>
      <c r="D257" s="34" t="s">
        <v>46</v>
      </c>
      <c r="E257" s="34" t="s">
        <v>46</v>
      </c>
      <c r="F257" s="34" t="s">
        <v>46</v>
      </c>
      <c r="G257" s="34" t="s">
        <v>46</v>
      </c>
      <c r="H257" s="34" t="s">
        <v>46</v>
      </c>
      <c r="I257" s="34" t="s">
        <v>46</v>
      </c>
      <c r="J257" s="34" t="s">
        <v>46</v>
      </c>
      <c r="K257" s="34" t="s">
        <v>46</v>
      </c>
    </row>
    <row r="258">
      <c r="A258" s="35" t="s">
        <v>46</v>
      </c>
      <c r="B258" s="34" t="s">
        <v>46</v>
      </c>
      <c r="C258" s="35" t="s">
        <v>46</v>
      </c>
      <c r="D258" s="35" t="s">
        <v>83</v>
      </c>
      <c r="E258" s="34" t="s">
        <v>338</v>
      </c>
      <c r="F258" s="35" t="s">
        <v>46</v>
      </c>
      <c r="G258" s="34" t="s">
        <v>339</v>
      </c>
      <c r="H258" s="34" t="s">
        <v>46</v>
      </c>
      <c r="I258" s="35" t="n">
        <v>5.0</v>
      </c>
      <c r="J258" s="35"/>
      <c r="K258" s="37" t="n">
        <v>0.75</v>
      </c>
    </row>
    <row r="259">
      <c r="A259" s="35" t="s">
        <v>46</v>
      </c>
      <c r="B259" s="34" t="s">
        <v>46</v>
      </c>
      <c r="C259" s="35" t="s">
        <v>46</v>
      </c>
      <c r="D259" s="35" t="s">
        <v>83</v>
      </c>
      <c r="E259" s="34" t="s">
        <v>340</v>
      </c>
      <c r="F259" s="35" t="s">
        <v>46</v>
      </c>
      <c r="G259" s="34" t="s">
        <v>341</v>
      </c>
      <c r="H259" s="34" t="s">
        <v>46</v>
      </c>
      <c r="I259" s="35" t="n">
        <v>5.0</v>
      </c>
      <c r="J259" s="35"/>
      <c r="K259" s="37" t="n">
        <v>2.0</v>
      </c>
    </row>
    <row r="260">
      <c r="A260" s="35" t="s">
        <v>46</v>
      </c>
      <c r="B260" s="34" t="s">
        <v>46</v>
      </c>
      <c r="C260" s="35" t="s">
        <v>46</v>
      </c>
      <c r="D260" s="35" t="s">
        <v>83</v>
      </c>
      <c r="E260" s="34" t="s">
        <v>342</v>
      </c>
      <c r="F260" s="35" t="s">
        <v>46</v>
      </c>
      <c r="G260" s="34" t="s">
        <v>343</v>
      </c>
      <c r="H260" s="34" t="s">
        <v>46</v>
      </c>
      <c r="I260" s="35" t="n">
        <v>5.0</v>
      </c>
      <c r="J260" s="35"/>
      <c r="K260" s="37" t="n">
        <v>0.25</v>
      </c>
    </row>
    <row r="261">
      <c r="A261" s="35" t="s">
        <v>344</v>
      </c>
      <c r="B261" s="34" t="s">
        <v>345</v>
      </c>
      <c r="C261" s="35" t="s">
        <v>307</v>
      </c>
      <c r="D261" s="34" t="s">
        <v>46</v>
      </c>
      <c r="E261" s="34" t="s">
        <v>46</v>
      </c>
      <c r="F261" s="34" t="s">
        <v>46</v>
      </c>
      <c r="G261" s="34" t="s">
        <v>46</v>
      </c>
      <c r="H261" s="34" t="s">
        <v>46</v>
      </c>
      <c r="I261" s="34" t="s">
        <v>46</v>
      </c>
      <c r="J261" s="34" t="s">
        <v>46</v>
      </c>
      <c r="K261" s="34" t="s">
        <v>46</v>
      </c>
    </row>
    <row r="262">
      <c r="A262" s="35" t="s">
        <v>46</v>
      </c>
      <c r="B262" s="34" t="s">
        <v>46</v>
      </c>
      <c r="C262" s="35" t="s">
        <v>46</v>
      </c>
      <c r="D262" s="35" t="s">
        <v>83</v>
      </c>
      <c r="E262" s="34" t="s">
        <v>346</v>
      </c>
      <c r="F262" s="35" t="s">
        <v>46</v>
      </c>
      <c r="G262" s="34" t="s">
        <v>347</v>
      </c>
      <c r="H262" s="34" t="s">
        <v>46</v>
      </c>
      <c r="I262" s="35" t="n">
        <v>5.0</v>
      </c>
      <c r="J262" s="35"/>
      <c r="K262" s="37" t="n">
        <v>0.75</v>
      </c>
    </row>
    <row r="263">
      <c r="A263" s="35" t="s">
        <v>46</v>
      </c>
      <c r="B263" s="34" t="s">
        <v>46</v>
      </c>
      <c r="C263" s="35" t="s">
        <v>46</v>
      </c>
      <c r="D263" s="35" t="s">
        <v>83</v>
      </c>
      <c r="E263" s="34" t="s">
        <v>111</v>
      </c>
      <c r="F263" s="35" t="s">
        <v>46</v>
      </c>
      <c r="G263" s="34" t="s">
        <v>348</v>
      </c>
      <c r="H263" s="34" t="s">
        <v>46</v>
      </c>
      <c r="I263" s="35" t="n">
        <v>1.0</v>
      </c>
      <c r="J263" s="35"/>
      <c r="K263" s="37" t="n">
        <v>1.0</v>
      </c>
    </row>
    <row r="264">
      <c r="A264" s="35" t="s">
        <v>46</v>
      </c>
      <c r="B264" s="34" t="s">
        <v>46</v>
      </c>
      <c r="C264" s="35" t="s">
        <v>46</v>
      </c>
      <c r="D264" s="35" t="s">
        <v>83</v>
      </c>
      <c r="E264" s="34" t="s">
        <v>349</v>
      </c>
      <c r="F264" s="35" t="s">
        <v>46</v>
      </c>
      <c r="G264" s="34" t="s">
        <v>350</v>
      </c>
      <c r="H264" s="34" t="s">
        <v>46</v>
      </c>
      <c r="I264" s="35" t="n">
        <v>2.0</v>
      </c>
      <c r="J264" s="35"/>
      <c r="K264" s="37" t="n">
        <v>0.75</v>
      </c>
    </row>
    <row r="265">
      <c r="A265" s="35" t="s">
        <v>46</v>
      </c>
      <c r="B265" s="34" t="s">
        <v>46</v>
      </c>
      <c r="C265" s="35" t="s">
        <v>46</v>
      </c>
      <c r="D265" s="35" t="s">
        <v>83</v>
      </c>
      <c r="E265" s="34" t="s">
        <v>110</v>
      </c>
      <c r="F265" s="35" t="s">
        <v>46</v>
      </c>
      <c r="G265" s="34" t="s">
        <v>351</v>
      </c>
      <c r="H265" s="34" t="s">
        <v>46</v>
      </c>
      <c r="I265" s="35" t="n">
        <v>1.0</v>
      </c>
      <c r="J265" s="35"/>
      <c r="K265" s="37" t="n">
        <v>0.25</v>
      </c>
    </row>
    <row r="266">
      <c r="A266" s="35" t="s">
        <v>46</v>
      </c>
      <c r="B266" s="34" t="s">
        <v>46</v>
      </c>
      <c r="C266" s="35" t="s">
        <v>46</v>
      </c>
      <c r="D266" s="35" t="s">
        <v>83</v>
      </c>
      <c r="E266" s="34" t="s">
        <v>352</v>
      </c>
      <c r="F266" s="35" t="s">
        <v>46</v>
      </c>
      <c r="G266" s="34" t="s">
        <v>353</v>
      </c>
      <c r="H266" s="34" t="s">
        <v>46</v>
      </c>
      <c r="I266" s="35" t="n">
        <v>2.0</v>
      </c>
      <c r="J266" s="35"/>
      <c r="K266" s="37" t="n">
        <v>0.5</v>
      </c>
    </row>
    <row r="267">
      <c r="A267" s="35" t="s">
        <v>354</v>
      </c>
      <c r="B267" s="34" t="s">
        <v>355</v>
      </c>
      <c r="C267" s="35" t="s">
        <v>307</v>
      </c>
      <c r="D267" s="34" t="s">
        <v>46</v>
      </c>
      <c r="E267" s="34" t="s">
        <v>46</v>
      </c>
      <c r="F267" s="34" t="s">
        <v>46</v>
      </c>
      <c r="G267" s="34" t="s">
        <v>46</v>
      </c>
      <c r="H267" s="34" t="s">
        <v>46</v>
      </c>
      <c r="I267" s="34" t="s">
        <v>46</v>
      </c>
      <c r="J267" s="34" t="s">
        <v>46</v>
      </c>
      <c r="K267" s="34" t="s">
        <v>46</v>
      </c>
    </row>
    <row r="268">
      <c r="A268" s="35" t="s">
        <v>46</v>
      </c>
      <c r="B268" s="34" t="s">
        <v>46</v>
      </c>
      <c r="C268" s="35" t="s">
        <v>46</v>
      </c>
      <c r="D268" s="35" t="s">
        <v>83</v>
      </c>
      <c r="E268" s="34" t="s">
        <v>356</v>
      </c>
      <c r="F268" s="35" t="s">
        <v>46</v>
      </c>
      <c r="G268" s="34" t="s">
        <v>357</v>
      </c>
      <c r="H268" s="34" t="s">
        <v>46</v>
      </c>
      <c r="I268" s="35" t="n">
        <v>3.0</v>
      </c>
      <c r="J268" s="35"/>
      <c r="K268" s="37" t="n">
        <v>1.25</v>
      </c>
    </row>
    <row r="269">
      <c r="A269" s="35" t="s">
        <v>46</v>
      </c>
      <c r="B269" s="34" t="s">
        <v>46</v>
      </c>
      <c r="C269" s="35" t="s">
        <v>46</v>
      </c>
      <c r="D269" s="35" t="s">
        <v>83</v>
      </c>
      <c r="E269" s="34" t="s">
        <v>358</v>
      </c>
      <c r="F269" s="35" t="s">
        <v>46</v>
      </c>
      <c r="G269" s="34" t="s">
        <v>359</v>
      </c>
      <c r="H269" s="34" t="s">
        <v>46</v>
      </c>
      <c r="I269" s="35" t="n">
        <v>5.0</v>
      </c>
      <c r="J269" s="35"/>
      <c r="K269" s="37" t="n">
        <v>0.5</v>
      </c>
    </row>
    <row r="270">
      <c r="A270" s="35" t="s">
        <v>46</v>
      </c>
      <c r="B270" s="34" t="s">
        <v>46</v>
      </c>
      <c r="C270" s="35" t="s">
        <v>46</v>
      </c>
      <c r="D270" s="35" t="s">
        <v>83</v>
      </c>
      <c r="E270" s="34" t="s">
        <v>301</v>
      </c>
      <c r="F270" s="35" t="s">
        <v>46</v>
      </c>
      <c r="G270" s="34" t="s">
        <v>360</v>
      </c>
      <c r="H270" s="34" t="s">
        <v>46</v>
      </c>
      <c r="I270" s="35" t="n">
        <v>5.0</v>
      </c>
      <c r="J270" s="35"/>
      <c r="K270" s="37" t="n">
        <v>0.75</v>
      </c>
    </row>
    <row r="271">
      <c r="A271" s="35" t="s">
        <v>46</v>
      </c>
      <c r="B271" s="34" t="s">
        <v>46</v>
      </c>
      <c r="C271" s="35" t="s">
        <v>46</v>
      </c>
      <c r="D271" s="35" t="s">
        <v>83</v>
      </c>
      <c r="E271" s="34" t="s">
        <v>286</v>
      </c>
      <c r="F271" s="35" t="s">
        <v>46</v>
      </c>
      <c r="G271" s="34" t="s">
        <v>361</v>
      </c>
      <c r="H271" s="34" t="s">
        <v>46</v>
      </c>
      <c r="I271" s="35" t="n">
        <v>5.0</v>
      </c>
      <c r="J271" s="35"/>
      <c r="K271" s="37" t="n">
        <v>0.5</v>
      </c>
    </row>
    <row r="272">
      <c r="A272" s="35" t="s">
        <v>46</v>
      </c>
      <c r="B272" s="34" t="s">
        <v>46</v>
      </c>
      <c r="C272" s="35" t="s">
        <v>46</v>
      </c>
      <c r="D272" s="35" t="s">
        <v>83</v>
      </c>
      <c r="E272" s="34" t="s">
        <v>207</v>
      </c>
      <c r="F272" s="35" t="s">
        <v>46</v>
      </c>
      <c r="G272" s="34" t="s">
        <v>362</v>
      </c>
      <c r="H272" s="34" t="s">
        <v>46</v>
      </c>
      <c r="I272" s="35" t="n">
        <v>5.0</v>
      </c>
      <c r="J272" s="35"/>
      <c r="K272" s="37" t="n">
        <v>1.0</v>
      </c>
    </row>
    <row r="273">
      <c r="A273" s="35" t="s">
        <v>363</v>
      </c>
      <c r="B273" s="34" t="s">
        <v>364</v>
      </c>
      <c r="C273" s="35" t="s">
        <v>307</v>
      </c>
      <c r="D273" s="34" t="s">
        <v>46</v>
      </c>
      <c r="E273" s="34" t="s">
        <v>46</v>
      </c>
      <c r="F273" s="34" t="s">
        <v>46</v>
      </c>
      <c r="G273" s="34" t="s">
        <v>46</v>
      </c>
      <c r="H273" s="34" t="s">
        <v>46</v>
      </c>
      <c r="I273" s="34" t="s">
        <v>46</v>
      </c>
      <c r="J273" s="34" t="s">
        <v>46</v>
      </c>
      <c r="K273" s="34" t="s">
        <v>46</v>
      </c>
    </row>
    <row r="274">
      <c r="A274" s="35" t="s">
        <v>46</v>
      </c>
      <c r="B274" s="34" t="s">
        <v>46</v>
      </c>
      <c r="C274" s="35" t="s">
        <v>46</v>
      </c>
      <c r="D274" s="35" t="s">
        <v>83</v>
      </c>
      <c r="E274" s="34" t="s">
        <v>365</v>
      </c>
      <c r="F274" s="35" t="s">
        <v>46</v>
      </c>
      <c r="G274" s="34" t="s">
        <v>366</v>
      </c>
      <c r="H274" s="34" t="s">
        <v>46</v>
      </c>
      <c r="I274" s="35" t="n">
        <v>1.0</v>
      </c>
      <c r="J274" s="35"/>
      <c r="K274" s="37" t="n">
        <v>1.0</v>
      </c>
    </row>
    <row r="275">
      <c r="A275" s="35" t="s">
        <v>46</v>
      </c>
      <c r="B275" s="34" t="s">
        <v>46</v>
      </c>
      <c r="C275" s="35" t="s">
        <v>46</v>
      </c>
      <c r="D275" s="35" t="s">
        <v>83</v>
      </c>
      <c r="E275" s="34" t="s">
        <v>367</v>
      </c>
      <c r="F275" s="35" t="s">
        <v>46</v>
      </c>
      <c r="G275" s="34" t="s">
        <v>368</v>
      </c>
      <c r="H275" s="34" t="s">
        <v>46</v>
      </c>
      <c r="I275" s="35" t="n">
        <v>1.0</v>
      </c>
      <c r="J275" s="35"/>
      <c r="K275" s="37" t="n">
        <v>0.25</v>
      </c>
    </row>
    <row r="276">
      <c r="A276" s="35" t="s">
        <v>46</v>
      </c>
      <c r="B276" s="34" t="s">
        <v>46</v>
      </c>
      <c r="C276" s="35" t="s">
        <v>46</v>
      </c>
      <c r="D276" s="35" t="s">
        <v>48</v>
      </c>
      <c r="E276" s="34" t="s">
        <v>369</v>
      </c>
      <c r="F276" s="35" t="s">
        <v>46</v>
      </c>
      <c r="G276" s="34" t="s">
        <v>46</v>
      </c>
      <c r="H276" s="34" t="s">
        <v>46</v>
      </c>
      <c r="I276" s="35" t="n">
        <v>2.0</v>
      </c>
      <c r="J276" s="35"/>
      <c r="K276" s="37" t="n">
        <v>1.0</v>
      </c>
    </row>
    <row r="277">
      <c r="A277" s="35" t="s">
        <v>46</v>
      </c>
      <c r="B277" s="34" t="s">
        <v>46</v>
      </c>
      <c r="C277" s="35" t="s">
        <v>46</v>
      </c>
      <c r="D277" s="35" t="s">
        <v>46</v>
      </c>
      <c r="E277" s="34" t="s">
        <v>46</v>
      </c>
      <c r="F277" s="35" t="n">
        <v>0.0</v>
      </c>
      <c r="G277" s="34" t="s">
        <v>370</v>
      </c>
      <c r="H277" s="34" t="s">
        <v>46</v>
      </c>
      <c r="I277" s="35"/>
      <c r="J277" s="35"/>
      <c r="K277" s="37"/>
    </row>
    <row r="278">
      <c r="A278" s="35" t="s">
        <v>46</v>
      </c>
      <c r="B278" s="34" t="s">
        <v>46</v>
      </c>
      <c r="C278" s="35" t="s">
        <v>46</v>
      </c>
      <c r="D278" s="35" t="s">
        <v>46</v>
      </c>
      <c r="E278" s="34" t="s">
        <v>46</v>
      </c>
      <c r="F278" s="35" t="n">
        <v>1.0</v>
      </c>
      <c r="G278" s="34" t="s">
        <v>371</v>
      </c>
      <c r="H278" s="34" t="s">
        <v>46</v>
      </c>
      <c r="I278" s="35"/>
      <c r="J278" s="35"/>
      <c r="K278" s="37"/>
    </row>
    <row r="279">
      <c r="A279" s="35" t="s">
        <v>46</v>
      </c>
      <c r="B279" s="34" t="s">
        <v>46</v>
      </c>
      <c r="C279" s="35" t="s">
        <v>46</v>
      </c>
      <c r="D279" s="35" t="s">
        <v>46</v>
      </c>
      <c r="E279" s="34" t="s">
        <v>46</v>
      </c>
      <c r="F279" s="35" t="n">
        <v>2.0</v>
      </c>
      <c r="G279" s="34" t="s">
        <v>372</v>
      </c>
      <c r="H279" s="34" t="s">
        <v>46</v>
      </c>
      <c r="I279" s="35"/>
      <c r="J279" s="35"/>
      <c r="K279" s="37"/>
    </row>
    <row r="280">
      <c r="A280" s="35" t="s">
        <v>46</v>
      </c>
      <c r="B280" s="34" t="s">
        <v>46</v>
      </c>
      <c r="C280" s="35" t="s">
        <v>46</v>
      </c>
      <c r="D280" s="35" t="s">
        <v>46</v>
      </c>
      <c r="E280" s="34" t="s">
        <v>46</v>
      </c>
      <c r="F280" s="35" t="n">
        <v>3.0</v>
      </c>
      <c r="G280" s="34" t="s">
        <v>373</v>
      </c>
      <c r="H280" s="34" t="s">
        <v>46</v>
      </c>
      <c r="I280" s="35"/>
      <c r="J280" s="35"/>
      <c r="K280" s="37"/>
    </row>
    <row r="281">
      <c r="A281" s="35" t="s">
        <v>46</v>
      </c>
      <c r="B281" s="34" t="s">
        <v>46</v>
      </c>
      <c r="C281" s="35" t="s">
        <v>46</v>
      </c>
      <c r="D281" s="35" t="s">
        <v>48</v>
      </c>
      <c r="E281" s="34" t="s">
        <v>374</v>
      </c>
      <c r="F281" s="35" t="s">
        <v>46</v>
      </c>
      <c r="G281" s="34" t="s">
        <v>46</v>
      </c>
      <c r="H281" s="34" t="s">
        <v>46</v>
      </c>
      <c r="I281" s="35" t="n">
        <v>4.0</v>
      </c>
      <c r="J281" s="35"/>
      <c r="K281" s="37" t="n">
        <v>1.5</v>
      </c>
    </row>
    <row r="282">
      <c r="A282" s="35" t="s">
        <v>46</v>
      </c>
      <c r="B282" s="34" t="s">
        <v>46</v>
      </c>
      <c r="C282" s="35" t="s">
        <v>46</v>
      </c>
      <c r="D282" s="35" t="s">
        <v>46</v>
      </c>
      <c r="E282" s="34" t="s">
        <v>46</v>
      </c>
      <c r="F282" s="35" t="n">
        <v>0.0</v>
      </c>
      <c r="G282" s="34" t="s">
        <v>375</v>
      </c>
      <c r="H282" s="34" t="s">
        <v>46</v>
      </c>
      <c r="I282" s="35"/>
      <c r="J282" s="35"/>
      <c r="K282" s="37"/>
    </row>
    <row r="283">
      <c r="A283" s="35" t="s">
        <v>46</v>
      </c>
      <c r="B283" s="34" t="s">
        <v>46</v>
      </c>
      <c r="C283" s="35" t="s">
        <v>46</v>
      </c>
      <c r="D283" s="35" t="s">
        <v>46</v>
      </c>
      <c r="E283" s="34" t="s">
        <v>46</v>
      </c>
      <c r="F283" s="35" t="n">
        <v>1.0</v>
      </c>
      <c r="G283" s="34" t="s">
        <v>376</v>
      </c>
      <c r="H283" s="34" t="s">
        <v>46</v>
      </c>
      <c r="I283" s="35"/>
      <c r="J283" s="35"/>
      <c r="K283" s="37"/>
    </row>
    <row r="284">
      <c r="A284" s="35" t="s">
        <v>46</v>
      </c>
      <c r="B284" s="34" t="s">
        <v>46</v>
      </c>
      <c r="C284" s="35" t="s">
        <v>46</v>
      </c>
      <c r="D284" s="35" t="s">
        <v>46</v>
      </c>
      <c r="E284" s="34" t="s">
        <v>46</v>
      </c>
      <c r="F284" s="35" t="n">
        <v>2.0</v>
      </c>
      <c r="G284" s="34" t="s">
        <v>377</v>
      </c>
      <c r="H284" s="34" t="s">
        <v>46</v>
      </c>
      <c r="I284" s="35"/>
      <c r="J284" s="35"/>
      <c r="K284" s="37"/>
    </row>
    <row r="285">
      <c r="A285" s="35" t="s">
        <v>46</v>
      </c>
      <c r="B285" s="34" t="s">
        <v>46</v>
      </c>
      <c r="C285" s="35" t="s">
        <v>46</v>
      </c>
      <c r="D285" s="35" t="s">
        <v>46</v>
      </c>
      <c r="E285" s="34" t="s">
        <v>46</v>
      </c>
      <c r="F285" s="35" t="n">
        <v>3.0</v>
      </c>
      <c r="G285" s="34" t="s">
        <v>378</v>
      </c>
      <c r="H285" s="34" t="s">
        <v>46</v>
      </c>
      <c r="I285" s="35"/>
      <c r="J285" s="35"/>
      <c r="K285" s="37"/>
    </row>
    <row r="286">
      <c r="A286" s="35" t="s">
        <v>46</v>
      </c>
      <c r="B286" s="34" t="s">
        <v>46</v>
      </c>
      <c r="C286" s="35" t="s">
        <v>46</v>
      </c>
      <c r="D286" s="35" t="s">
        <v>48</v>
      </c>
      <c r="E286" s="34" t="s">
        <v>379</v>
      </c>
      <c r="F286" s="35" t="s">
        <v>46</v>
      </c>
      <c r="G286" s="34" t="s">
        <v>46</v>
      </c>
      <c r="H286" s="34" t="s">
        <v>46</v>
      </c>
      <c r="I286" s="35" t="n">
        <v>1.0</v>
      </c>
      <c r="J286" s="35"/>
      <c r="K286" s="37" t="n">
        <v>1.0</v>
      </c>
    </row>
    <row r="287">
      <c r="A287" s="35" t="s">
        <v>46</v>
      </c>
      <c r="B287" s="34" t="s">
        <v>46</v>
      </c>
      <c r="C287" s="35" t="s">
        <v>46</v>
      </c>
      <c r="D287" s="35" t="s">
        <v>46</v>
      </c>
      <c r="E287" s="34" t="s">
        <v>46</v>
      </c>
      <c r="F287" s="35" t="n">
        <v>0.0</v>
      </c>
      <c r="G287" s="34" t="s">
        <v>380</v>
      </c>
      <c r="H287" s="34" t="s">
        <v>46</v>
      </c>
      <c r="I287" s="35"/>
      <c r="J287" s="35"/>
      <c r="K287" s="37"/>
    </row>
    <row r="288">
      <c r="A288" s="35" t="s">
        <v>46</v>
      </c>
      <c r="B288" s="34" t="s">
        <v>46</v>
      </c>
      <c r="C288" s="35" t="s">
        <v>46</v>
      </c>
      <c r="D288" s="35" t="s">
        <v>46</v>
      </c>
      <c r="E288" s="34" t="s">
        <v>46</v>
      </c>
      <c r="F288" s="35" t="n">
        <v>1.0</v>
      </c>
      <c r="G288" s="34" t="s">
        <v>381</v>
      </c>
      <c r="H288" s="34" t="s">
        <v>46</v>
      </c>
      <c r="I288" s="35"/>
      <c r="J288" s="35"/>
      <c r="K288" s="37"/>
    </row>
    <row r="289">
      <c r="A289" s="35" t="s">
        <v>46</v>
      </c>
      <c r="B289" s="34" t="s">
        <v>46</v>
      </c>
      <c r="C289" s="35" t="s">
        <v>46</v>
      </c>
      <c r="D289" s="35" t="s">
        <v>46</v>
      </c>
      <c r="E289" s="34" t="s">
        <v>46</v>
      </c>
      <c r="F289" s="35" t="n">
        <v>2.0</v>
      </c>
      <c r="G289" s="34" t="s">
        <v>382</v>
      </c>
      <c r="H289" s="34" t="s">
        <v>46</v>
      </c>
      <c r="I289" s="35"/>
      <c r="J289" s="35"/>
      <c r="K289" s="37"/>
    </row>
    <row r="290">
      <c r="A290" s="35" t="s">
        <v>46</v>
      </c>
      <c r="B290" s="34" t="s">
        <v>46</v>
      </c>
      <c r="C290" s="35" t="s">
        <v>46</v>
      </c>
      <c r="D290" s="35" t="s">
        <v>46</v>
      </c>
      <c r="E290" s="34" t="s">
        <v>46</v>
      </c>
      <c r="F290" s="35" t="n">
        <v>3.0</v>
      </c>
      <c r="G290" s="34" t="s">
        <v>383</v>
      </c>
      <c r="H290" s="34" t="s">
        <v>46</v>
      </c>
      <c r="I290" s="35"/>
      <c r="J290" s="35"/>
      <c r="K290" s="37"/>
    </row>
    <row r="291">
      <c r="A291" s="35" t="s">
        <v>46</v>
      </c>
      <c r="B291" s="34" t="s">
        <v>46</v>
      </c>
      <c r="C291" s="35" t="s">
        <v>46</v>
      </c>
      <c r="D291" s="35" t="s">
        <v>46</v>
      </c>
      <c r="E291" s="34" t="s">
        <v>46</v>
      </c>
      <c r="F291" s="35" t="s">
        <v>46</v>
      </c>
      <c r="G291" s="34" t="s">
        <v>46</v>
      </c>
      <c r="H291" s="34" t="s">
        <v>46</v>
      </c>
      <c r="I291" s="35"/>
      <c r="J291" s="35"/>
      <c r="K291" s="37"/>
    </row>
    <row r="292">
      <c r="A292" s="35" t="s">
        <v>46</v>
      </c>
      <c r="B292" s="34" t="s">
        <v>46</v>
      </c>
      <c r="C292" s="35" t="s">
        <v>46</v>
      </c>
      <c r="D292" s="35" t="s">
        <v>46</v>
      </c>
      <c r="E292" s="34" t="s">
        <v>46</v>
      </c>
      <c r="F292" s="35" t="s">
        <v>46</v>
      </c>
      <c r="G292" s="34" t="s">
        <v>46</v>
      </c>
      <c r="H292" s="34" t="s">
        <v>46</v>
      </c>
      <c r="I292" s="35"/>
      <c r="J292" s="35"/>
      <c r="K292" s="37"/>
    </row>
    <row r="293">
      <c r="A293" s="86" t="s">
        <v>15</v>
      </c>
      <c r="B293" s="87" t="s">
        <v>16</v>
      </c>
      <c r="C293" s="88" t="s">
        <v>10</v>
      </c>
      <c r="D293" s="89" t="s">
        <v>6</v>
      </c>
      <c r="E293" s="90" t="s">
        <v>1</v>
      </c>
      <c r="F293" s="91" t="s">
        <v>2</v>
      </c>
      <c r="G293" s="92" t="s">
        <v>8</v>
      </c>
      <c r="H293" s="93" t="s">
        <v>9</v>
      </c>
      <c r="I293" s="94" t="s">
        <v>23</v>
      </c>
      <c r="J293" s="95" t="s">
        <v>11</v>
      </c>
      <c r="K293" s="96" t="s">
        <v>3</v>
      </c>
      <c r="L293" s="97" t="s">
        <v>384</v>
      </c>
      <c r="M293" s="98" t="s">
        <v>4</v>
      </c>
      <c r="N293" s="99">
        <f>SUM(K294:K322)</f>
      </c>
    </row>
    <row r="294">
      <c r="A294" s="35" t="s">
        <v>385</v>
      </c>
      <c r="B294" s="34" t="s">
        <v>386</v>
      </c>
      <c r="C294" s="35"/>
      <c r="D294" s="34" t="s">
        <v>46</v>
      </c>
      <c r="E294" s="34" t="s">
        <v>46</v>
      </c>
      <c r="F294" s="34" t="s">
        <v>46</v>
      </c>
      <c r="G294" s="34" t="s">
        <v>46</v>
      </c>
      <c r="H294" s="34" t="s">
        <v>46</v>
      </c>
      <c r="I294" s="34" t="s">
        <v>46</v>
      </c>
      <c r="J294" s="34" t="s">
        <v>46</v>
      </c>
      <c r="K294" s="34" t="s">
        <v>46</v>
      </c>
    </row>
    <row r="295">
      <c r="A295" s="35" t="s">
        <v>46</v>
      </c>
      <c r="B295" s="34" t="s">
        <v>46</v>
      </c>
      <c r="C295" s="35" t="s">
        <v>46</v>
      </c>
      <c r="D295" s="35" t="s">
        <v>83</v>
      </c>
      <c r="E295" s="34" t="s">
        <v>387</v>
      </c>
      <c r="F295" s="35" t="s">
        <v>46</v>
      </c>
      <c r="G295" s="34" t="s">
        <v>388</v>
      </c>
      <c r="H295" s="34" t="s">
        <v>46</v>
      </c>
      <c r="I295" s="35" t="n">
        <v>1.0</v>
      </c>
      <c r="J295" s="35"/>
      <c r="K295" s="37" t="n">
        <v>0.25</v>
      </c>
    </row>
    <row r="296">
      <c r="A296" s="35" t="s">
        <v>46</v>
      </c>
      <c r="B296" s="34" t="s">
        <v>46</v>
      </c>
      <c r="C296" s="35" t="s">
        <v>46</v>
      </c>
      <c r="D296" s="35" t="s">
        <v>48</v>
      </c>
      <c r="E296" s="34" t="s">
        <v>389</v>
      </c>
      <c r="F296" s="35" t="s">
        <v>46</v>
      </c>
      <c r="G296" s="34" t="s">
        <v>46</v>
      </c>
      <c r="H296" s="34" t="s">
        <v>46</v>
      </c>
      <c r="I296" s="35" t="n">
        <v>1.0</v>
      </c>
      <c r="J296" s="35"/>
      <c r="K296" s="37" t="n">
        <v>0.5</v>
      </c>
    </row>
    <row r="297">
      <c r="A297" s="35" t="s">
        <v>46</v>
      </c>
      <c r="B297" s="34" t="s">
        <v>46</v>
      </c>
      <c r="C297" s="35" t="s">
        <v>46</v>
      </c>
      <c r="D297" s="35" t="s">
        <v>46</v>
      </c>
      <c r="E297" s="34" t="s">
        <v>46</v>
      </c>
      <c r="F297" s="35" t="n">
        <v>0.0</v>
      </c>
      <c r="G297" s="34" t="s">
        <v>390</v>
      </c>
      <c r="H297" s="34" t="s">
        <v>46</v>
      </c>
      <c r="I297" s="35"/>
      <c r="J297" s="35"/>
      <c r="K297" s="37"/>
    </row>
    <row r="298">
      <c r="A298" s="35" t="s">
        <v>46</v>
      </c>
      <c r="B298" s="34" t="s">
        <v>46</v>
      </c>
      <c r="C298" s="35" t="s">
        <v>46</v>
      </c>
      <c r="D298" s="35" t="s">
        <v>46</v>
      </c>
      <c r="E298" s="34" t="s">
        <v>46</v>
      </c>
      <c r="F298" s="35" t="n">
        <v>1.0</v>
      </c>
      <c r="G298" s="34" t="s">
        <v>391</v>
      </c>
      <c r="H298" s="34" t="s">
        <v>46</v>
      </c>
      <c r="I298" s="35"/>
      <c r="J298" s="35"/>
      <c r="K298" s="37"/>
    </row>
    <row r="299">
      <c r="A299" s="35" t="s">
        <v>46</v>
      </c>
      <c r="B299" s="34" t="s">
        <v>46</v>
      </c>
      <c r="C299" s="35" t="s">
        <v>46</v>
      </c>
      <c r="D299" s="35" t="s">
        <v>46</v>
      </c>
      <c r="E299" s="34" t="s">
        <v>46</v>
      </c>
      <c r="F299" s="35" t="n">
        <v>2.0</v>
      </c>
      <c r="G299" s="34" t="s">
        <v>392</v>
      </c>
      <c r="H299" s="34" t="s">
        <v>46</v>
      </c>
      <c r="I299" s="35"/>
      <c r="J299" s="35"/>
      <c r="K299" s="37"/>
    </row>
    <row r="300">
      <c r="A300" s="35" t="s">
        <v>46</v>
      </c>
      <c r="B300" s="34" t="s">
        <v>46</v>
      </c>
      <c r="C300" s="35" t="s">
        <v>46</v>
      </c>
      <c r="D300" s="35" t="s">
        <v>46</v>
      </c>
      <c r="E300" s="34" t="s">
        <v>46</v>
      </c>
      <c r="F300" s="35" t="n">
        <v>3.0</v>
      </c>
      <c r="G300" s="34" t="s">
        <v>393</v>
      </c>
      <c r="H300" s="34" t="s">
        <v>46</v>
      </c>
      <c r="I300" s="35"/>
      <c r="J300" s="35"/>
      <c r="K300" s="37"/>
    </row>
    <row r="301">
      <c r="A301" s="35" t="s">
        <v>46</v>
      </c>
      <c r="B301" s="34" t="s">
        <v>46</v>
      </c>
      <c r="C301" s="35" t="s">
        <v>46</v>
      </c>
      <c r="D301" s="35" t="s">
        <v>48</v>
      </c>
      <c r="E301" s="34" t="s">
        <v>394</v>
      </c>
      <c r="F301" s="35" t="s">
        <v>46</v>
      </c>
      <c r="G301" s="34" t="s">
        <v>46</v>
      </c>
      <c r="H301" s="34" t="s">
        <v>46</v>
      </c>
      <c r="I301" s="35" t="n">
        <v>4.0</v>
      </c>
      <c r="J301" s="35"/>
      <c r="K301" s="37" t="n">
        <v>0.25</v>
      </c>
    </row>
    <row r="302">
      <c r="A302" s="35" t="s">
        <v>46</v>
      </c>
      <c r="B302" s="34" t="s">
        <v>46</v>
      </c>
      <c r="C302" s="35" t="s">
        <v>46</v>
      </c>
      <c r="D302" s="35" t="s">
        <v>46</v>
      </c>
      <c r="E302" s="34" t="s">
        <v>46</v>
      </c>
      <c r="F302" s="35" t="n">
        <v>0.0</v>
      </c>
      <c r="G302" s="34" t="s">
        <v>395</v>
      </c>
      <c r="H302" s="34" t="s">
        <v>46</v>
      </c>
      <c r="I302" s="35"/>
      <c r="J302" s="35"/>
      <c r="K302" s="37"/>
    </row>
    <row r="303">
      <c r="A303" s="35" t="s">
        <v>46</v>
      </c>
      <c r="B303" s="34" t="s">
        <v>46</v>
      </c>
      <c r="C303" s="35" t="s">
        <v>46</v>
      </c>
      <c r="D303" s="35" t="s">
        <v>46</v>
      </c>
      <c r="E303" s="34" t="s">
        <v>46</v>
      </c>
      <c r="F303" s="35" t="n">
        <v>1.0</v>
      </c>
      <c r="G303" s="34" t="s">
        <v>396</v>
      </c>
      <c r="H303" s="34" t="s">
        <v>46</v>
      </c>
      <c r="I303" s="35"/>
      <c r="J303" s="35"/>
      <c r="K303" s="37"/>
    </row>
    <row r="304">
      <c r="A304" s="35" t="s">
        <v>46</v>
      </c>
      <c r="B304" s="34" t="s">
        <v>46</v>
      </c>
      <c r="C304" s="35" t="s">
        <v>46</v>
      </c>
      <c r="D304" s="35" t="s">
        <v>46</v>
      </c>
      <c r="E304" s="34" t="s">
        <v>46</v>
      </c>
      <c r="F304" s="35" t="n">
        <v>2.0</v>
      </c>
      <c r="G304" s="34" t="s">
        <v>397</v>
      </c>
      <c r="H304" s="34" t="s">
        <v>46</v>
      </c>
      <c r="I304" s="35"/>
      <c r="J304" s="35"/>
      <c r="K304" s="37"/>
    </row>
    <row r="305">
      <c r="A305" s="35" t="s">
        <v>46</v>
      </c>
      <c r="B305" s="34" t="s">
        <v>46</v>
      </c>
      <c r="C305" s="35" t="s">
        <v>46</v>
      </c>
      <c r="D305" s="35" t="s">
        <v>46</v>
      </c>
      <c r="E305" s="34" t="s">
        <v>46</v>
      </c>
      <c r="F305" s="35" t="n">
        <v>3.0</v>
      </c>
      <c r="G305" s="34" t="s">
        <v>398</v>
      </c>
      <c r="H305" s="34" t="s">
        <v>46</v>
      </c>
      <c r="I305" s="35"/>
      <c r="J305" s="35"/>
      <c r="K305" s="37"/>
    </row>
    <row r="306">
      <c r="A306" s="35" t="s">
        <v>46</v>
      </c>
      <c r="B306" s="34" t="s">
        <v>46</v>
      </c>
      <c r="C306" s="35" t="s">
        <v>46</v>
      </c>
      <c r="D306" s="35" t="s">
        <v>48</v>
      </c>
      <c r="E306" s="34" t="s">
        <v>399</v>
      </c>
      <c r="F306" s="35" t="s">
        <v>46</v>
      </c>
      <c r="G306" s="34" t="s">
        <v>46</v>
      </c>
      <c r="H306" s="34" t="s">
        <v>46</v>
      </c>
      <c r="I306" s="35" t="n">
        <v>2.0</v>
      </c>
      <c r="J306" s="35"/>
      <c r="K306" s="37" t="n">
        <v>0.5</v>
      </c>
    </row>
    <row r="307">
      <c r="A307" s="35" t="s">
        <v>46</v>
      </c>
      <c r="B307" s="34" t="s">
        <v>46</v>
      </c>
      <c r="C307" s="35" t="s">
        <v>46</v>
      </c>
      <c r="D307" s="35" t="s">
        <v>46</v>
      </c>
      <c r="E307" s="34" t="s">
        <v>46</v>
      </c>
      <c r="F307" s="35" t="n">
        <v>0.0</v>
      </c>
      <c r="G307" s="34" t="s">
        <v>400</v>
      </c>
      <c r="H307" s="34" t="s">
        <v>46</v>
      </c>
      <c r="I307" s="35"/>
      <c r="J307" s="35"/>
      <c r="K307" s="37"/>
    </row>
    <row r="308">
      <c r="A308" s="35" t="s">
        <v>46</v>
      </c>
      <c r="B308" s="34" t="s">
        <v>46</v>
      </c>
      <c r="C308" s="35" t="s">
        <v>46</v>
      </c>
      <c r="D308" s="35" t="s">
        <v>46</v>
      </c>
      <c r="E308" s="34" t="s">
        <v>46</v>
      </c>
      <c r="F308" s="35" t="n">
        <v>1.0</v>
      </c>
      <c r="G308" s="34" t="s">
        <v>401</v>
      </c>
      <c r="H308" s="34" t="s">
        <v>46</v>
      </c>
      <c r="I308" s="35"/>
      <c r="J308" s="35"/>
      <c r="K308" s="37"/>
    </row>
    <row r="309">
      <c r="A309" s="35" t="s">
        <v>46</v>
      </c>
      <c r="B309" s="34" t="s">
        <v>46</v>
      </c>
      <c r="C309" s="35" t="s">
        <v>46</v>
      </c>
      <c r="D309" s="35" t="s">
        <v>46</v>
      </c>
      <c r="E309" s="34" t="s">
        <v>46</v>
      </c>
      <c r="F309" s="35" t="n">
        <v>2.0</v>
      </c>
      <c r="G309" s="34" t="s">
        <v>402</v>
      </c>
      <c r="H309" s="34" t="s">
        <v>46</v>
      </c>
      <c r="I309" s="35"/>
      <c r="J309" s="35"/>
      <c r="K309" s="37"/>
    </row>
    <row r="310">
      <c r="A310" s="35" t="s">
        <v>46</v>
      </c>
      <c r="B310" s="34" t="s">
        <v>46</v>
      </c>
      <c r="C310" s="35" t="s">
        <v>46</v>
      </c>
      <c r="D310" s="35" t="s">
        <v>46</v>
      </c>
      <c r="E310" s="34" t="s">
        <v>46</v>
      </c>
      <c r="F310" s="35" t="n">
        <v>3.0</v>
      </c>
      <c r="G310" s="34" t="s">
        <v>403</v>
      </c>
      <c r="H310" s="34" t="s">
        <v>46</v>
      </c>
      <c r="I310" s="35"/>
      <c r="J310" s="35"/>
      <c r="K310" s="37"/>
    </row>
    <row r="311">
      <c r="A311" s="35" t="s">
        <v>46</v>
      </c>
      <c r="B311" s="34" t="s">
        <v>46</v>
      </c>
      <c r="C311" s="35" t="s">
        <v>46</v>
      </c>
      <c r="D311" s="35" t="s">
        <v>48</v>
      </c>
      <c r="E311" s="34" t="s">
        <v>404</v>
      </c>
      <c r="F311" s="35" t="s">
        <v>46</v>
      </c>
      <c r="G311" s="34" t="s">
        <v>46</v>
      </c>
      <c r="H311" s="34" t="s">
        <v>46</v>
      </c>
      <c r="I311" s="35" t="n">
        <v>2.0</v>
      </c>
      <c r="J311" s="35"/>
      <c r="K311" s="37" t="n">
        <v>1.0</v>
      </c>
    </row>
    <row r="312">
      <c r="A312" s="35" t="s">
        <v>46</v>
      </c>
      <c r="B312" s="34" t="s">
        <v>46</v>
      </c>
      <c r="C312" s="35" t="s">
        <v>46</v>
      </c>
      <c r="D312" s="35" t="s">
        <v>46</v>
      </c>
      <c r="E312" s="34" t="s">
        <v>46</v>
      </c>
      <c r="F312" s="35" t="n">
        <v>0.0</v>
      </c>
      <c r="G312" s="34" t="s">
        <v>405</v>
      </c>
      <c r="H312" s="34" t="s">
        <v>46</v>
      </c>
      <c r="I312" s="35"/>
      <c r="J312" s="35"/>
      <c r="K312" s="37"/>
    </row>
    <row r="313">
      <c r="A313" s="35" t="s">
        <v>46</v>
      </c>
      <c r="B313" s="34" t="s">
        <v>46</v>
      </c>
      <c r="C313" s="35" t="s">
        <v>46</v>
      </c>
      <c r="D313" s="35" t="s">
        <v>46</v>
      </c>
      <c r="E313" s="34" t="s">
        <v>46</v>
      </c>
      <c r="F313" s="35" t="n">
        <v>1.0</v>
      </c>
      <c r="G313" s="34" t="s">
        <v>406</v>
      </c>
      <c r="H313" s="34" t="s">
        <v>46</v>
      </c>
      <c r="I313" s="35"/>
      <c r="J313" s="35"/>
      <c r="K313" s="37"/>
    </row>
    <row r="314">
      <c r="A314" s="35" t="s">
        <v>46</v>
      </c>
      <c r="B314" s="34" t="s">
        <v>46</v>
      </c>
      <c r="C314" s="35" t="s">
        <v>46</v>
      </c>
      <c r="D314" s="35" t="s">
        <v>46</v>
      </c>
      <c r="E314" s="34" t="s">
        <v>46</v>
      </c>
      <c r="F314" s="35" t="n">
        <v>2.0</v>
      </c>
      <c r="G314" s="34" t="s">
        <v>407</v>
      </c>
      <c r="H314" s="34" t="s">
        <v>46</v>
      </c>
      <c r="I314" s="35"/>
      <c r="J314" s="35"/>
      <c r="K314" s="37"/>
    </row>
    <row r="315">
      <c r="A315" s="35" t="s">
        <v>46</v>
      </c>
      <c r="B315" s="34" t="s">
        <v>46</v>
      </c>
      <c r="C315" s="35" t="s">
        <v>46</v>
      </c>
      <c r="D315" s="35" t="s">
        <v>46</v>
      </c>
      <c r="E315" s="34" t="s">
        <v>46</v>
      </c>
      <c r="F315" s="35" t="n">
        <v>3.0</v>
      </c>
      <c r="G315" s="34" t="s">
        <v>408</v>
      </c>
      <c r="H315" s="34" t="s">
        <v>46</v>
      </c>
      <c r="I315" s="35"/>
      <c r="J315" s="35"/>
      <c r="K315" s="37"/>
    </row>
    <row r="316">
      <c r="A316" s="35" t="s">
        <v>46</v>
      </c>
      <c r="B316" s="34" t="s">
        <v>46</v>
      </c>
      <c r="C316" s="35" t="s">
        <v>46</v>
      </c>
      <c r="D316" s="35" t="s">
        <v>48</v>
      </c>
      <c r="E316" s="34" t="s">
        <v>409</v>
      </c>
      <c r="F316" s="35" t="s">
        <v>46</v>
      </c>
      <c r="G316" s="34" t="s">
        <v>46</v>
      </c>
      <c r="H316" s="34" t="s">
        <v>46</v>
      </c>
      <c r="I316" s="35" t="n">
        <v>2.0</v>
      </c>
      <c r="J316" s="35"/>
      <c r="K316" s="37" t="n">
        <v>0.5</v>
      </c>
    </row>
    <row r="317">
      <c r="A317" s="35" t="s">
        <v>46</v>
      </c>
      <c r="B317" s="34" t="s">
        <v>46</v>
      </c>
      <c r="C317" s="35" t="s">
        <v>46</v>
      </c>
      <c r="D317" s="35" t="s">
        <v>46</v>
      </c>
      <c r="E317" s="34" t="s">
        <v>46</v>
      </c>
      <c r="F317" s="35" t="n">
        <v>0.0</v>
      </c>
      <c r="G317" s="34" t="s">
        <v>410</v>
      </c>
      <c r="H317" s="34" t="s">
        <v>46</v>
      </c>
      <c r="I317" s="35"/>
      <c r="J317" s="35"/>
      <c r="K317" s="37"/>
    </row>
    <row r="318">
      <c r="A318" s="35" t="s">
        <v>46</v>
      </c>
      <c r="B318" s="34" t="s">
        <v>46</v>
      </c>
      <c r="C318" s="35" t="s">
        <v>46</v>
      </c>
      <c r="D318" s="35" t="s">
        <v>46</v>
      </c>
      <c r="E318" s="34" t="s">
        <v>46</v>
      </c>
      <c r="F318" s="35" t="n">
        <v>1.0</v>
      </c>
      <c r="G318" s="34" t="s">
        <v>411</v>
      </c>
      <c r="H318" s="34" t="s">
        <v>46</v>
      </c>
      <c r="I318" s="35"/>
      <c r="J318" s="35"/>
      <c r="K318" s="37"/>
    </row>
    <row r="319">
      <c r="A319" s="35" t="s">
        <v>46</v>
      </c>
      <c r="B319" s="34" t="s">
        <v>46</v>
      </c>
      <c r="C319" s="35" t="s">
        <v>46</v>
      </c>
      <c r="D319" s="35" t="s">
        <v>46</v>
      </c>
      <c r="E319" s="34" t="s">
        <v>46</v>
      </c>
      <c r="F319" s="35" t="n">
        <v>2.0</v>
      </c>
      <c r="G319" s="34" t="s">
        <v>412</v>
      </c>
      <c r="H319" s="34" t="s">
        <v>46</v>
      </c>
      <c r="I319" s="35"/>
      <c r="J319" s="35"/>
      <c r="K319" s="37"/>
    </row>
    <row r="320">
      <c r="A320" s="35" t="s">
        <v>46</v>
      </c>
      <c r="B320" s="34" t="s">
        <v>46</v>
      </c>
      <c r="C320" s="35" t="s">
        <v>46</v>
      </c>
      <c r="D320" s="35" t="s">
        <v>46</v>
      </c>
      <c r="E320" s="34" t="s">
        <v>46</v>
      </c>
      <c r="F320" s="35" t="n">
        <v>3.0</v>
      </c>
      <c r="G320" s="34" t="s">
        <v>413</v>
      </c>
      <c r="H320" s="34" t="s">
        <v>46</v>
      </c>
      <c r="I320" s="35"/>
      <c r="J320" s="35"/>
      <c r="K320" s="37"/>
    </row>
    <row r="321">
      <c r="A321" s="35" t="s">
        <v>46</v>
      </c>
      <c r="B321" s="34" t="s">
        <v>46</v>
      </c>
      <c r="C321" s="35" t="s">
        <v>46</v>
      </c>
      <c r="D321" s="35" t="s">
        <v>46</v>
      </c>
      <c r="E321" s="34" t="s">
        <v>46</v>
      </c>
      <c r="F321" s="35" t="s">
        <v>46</v>
      </c>
      <c r="G321" s="34" t="s">
        <v>46</v>
      </c>
      <c r="H321" s="34" t="s">
        <v>46</v>
      </c>
      <c r="I321" s="35"/>
      <c r="J321" s="35"/>
      <c r="K321" s="37"/>
    </row>
    <row r="322">
      <c r="A322" s="35" t="s">
        <v>46</v>
      </c>
      <c r="B322" s="34" t="s">
        <v>46</v>
      </c>
      <c r="C322" s="35" t="s">
        <v>46</v>
      </c>
      <c r="D322" s="35" t="s">
        <v>46</v>
      </c>
      <c r="E322" s="34" t="s">
        <v>46</v>
      </c>
      <c r="F322" s="35" t="s">
        <v>46</v>
      </c>
      <c r="G322" s="34" t="s">
        <v>46</v>
      </c>
      <c r="H322" s="34" t="s">
        <v>46</v>
      </c>
      <c r="I322" s="35"/>
      <c r="J322" s="35"/>
      <c r="K322" s="37"/>
    </row>
    <row r="323">
      <c r="A323" s="100" t="s">
        <v>15</v>
      </c>
      <c r="B323" s="101" t="s">
        <v>16</v>
      </c>
      <c r="C323" s="102" t="s">
        <v>10</v>
      </c>
      <c r="D323" s="103" t="s">
        <v>6</v>
      </c>
      <c r="E323" s="104" t="s">
        <v>1</v>
      </c>
      <c r="F323" s="105" t="s">
        <v>2</v>
      </c>
      <c r="G323" s="106" t="s">
        <v>8</v>
      </c>
      <c r="H323" s="107" t="s">
        <v>9</v>
      </c>
      <c r="I323" s="108" t="s">
        <v>23</v>
      </c>
      <c r="J323" s="109" t="s">
        <v>11</v>
      </c>
      <c r="K323" s="110" t="s">
        <v>3</v>
      </c>
      <c r="L323" s="111" t="s">
        <v>414</v>
      </c>
      <c r="M323" s="112" t="s">
        <v>4</v>
      </c>
      <c r="N323" s="113">
        <f>SUM(K324:K325)</f>
      </c>
    </row>
    <row r="324">
      <c r="A324" s="35" t="s">
        <v>46</v>
      </c>
      <c r="B324" s="34" t="s">
        <v>46</v>
      </c>
      <c r="C324" s="35" t="s">
        <v>46</v>
      </c>
      <c r="D324" s="35" t="s">
        <v>46</v>
      </c>
      <c r="E324" s="34" t="s">
        <v>46</v>
      </c>
      <c r="F324" s="35" t="s">
        <v>46</v>
      </c>
      <c r="G324" s="34" t="s">
        <v>46</v>
      </c>
      <c r="H324" s="34" t="s">
        <v>46</v>
      </c>
      <c r="I324" s="35"/>
      <c r="J324" s="35"/>
      <c r="K324" s="37"/>
    </row>
    <row r="325">
      <c r="A325" s="35" t="s">
        <v>46</v>
      </c>
      <c r="B325" s="34" t="s">
        <v>46</v>
      </c>
      <c r="C325" s="35" t="s">
        <v>46</v>
      </c>
      <c r="D325" s="35" t="s">
        <v>46</v>
      </c>
      <c r="E325" s="34" t="s">
        <v>46</v>
      </c>
      <c r="F325" s="35" t="s">
        <v>46</v>
      </c>
      <c r="G325" s="34" t="s">
        <v>46</v>
      </c>
      <c r="H325" s="34" t="s">
        <v>46</v>
      </c>
      <c r="I325" s="35"/>
      <c r="J325" s="35"/>
      <c r="K325" s="37"/>
    </row>
    <row r="326">
      <c r="A326" s="114" t="s">
        <v>15</v>
      </c>
      <c r="B326" s="115" t="s">
        <v>16</v>
      </c>
      <c r="C326" s="116" t="s">
        <v>10</v>
      </c>
      <c r="D326" s="117" t="s">
        <v>6</v>
      </c>
      <c r="E326" s="118" t="s">
        <v>1</v>
      </c>
      <c r="F326" s="119" t="s">
        <v>2</v>
      </c>
      <c r="G326" s="120" t="s">
        <v>8</v>
      </c>
      <c r="H326" s="121" t="s">
        <v>9</v>
      </c>
      <c r="I326" s="122" t="s">
        <v>23</v>
      </c>
      <c r="J326" s="123" t="s">
        <v>11</v>
      </c>
      <c r="K326" s="124" t="s">
        <v>3</v>
      </c>
      <c r="L326" s="125" t="s">
        <v>415</v>
      </c>
      <c r="M326" s="126" t="s">
        <v>4</v>
      </c>
      <c r="N326" s="127">
        <f>SUM(K327:K328)</f>
      </c>
    </row>
    <row r="327">
      <c r="A327" s="35" t="s">
        <v>46</v>
      </c>
      <c r="B327" s="34" t="s">
        <v>46</v>
      </c>
      <c r="C327" s="35" t="s">
        <v>46</v>
      </c>
      <c r="D327" s="35" t="s">
        <v>46</v>
      </c>
      <c r="E327" s="34" t="s">
        <v>46</v>
      </c>
      <c r="F327" s="35" t="s">
        <v>46</v>
      </c>
      <c r="G327" s="34" t="s">
        <v>46</v>
      </c>
      <c r="H327" s="34" t="s">
        <v>46</v>
      </c>
      <c r="I327" s="35"/>
      <c r="J327" s="35"/>
      <c r="K327" s="37"/>
    </row>
    <row r="328">
      <c r="A328" s="35" t="s">
        <v>46</v>
      </c>
      <c r="B328" s="34" t="s">
        <v>46</v>
      </c>
      <c r="C328" s="35" t="s">
        <v>46</v>
      </c>
      <c r="D328" s="35" t="s">
        <v>46</v>
      </c>
      <c r="E328" s="34" t="s">
        <v>46</v>
      </c>
      <c r="F328" s="35" t="s">
        <v>46</v>
      </c>
      <c r="G328" s="34" t="s">
        <v>46</v>
      </c>
      <c r="H328" s="34" t="s">
        <v>46</v>
      </c>
      <c r="I328" s="35"/>
      <c r="J328" s="35"/>
      <c r="K328" s="37"/>
    </row>
    <row r="329">
      <c r="A329" s="128" t="s">
        <v>15</v>
      </c>
      <c r="B329" s="129" t="s">
        <v>16</v>
      </c>
      <c r="C329" s="130" t="s">
        <v>10</v>
      </c>
      <c r="D329" s="131" t="s">
        <v>6</v>
      </c>
      <c r="E329" s="132" t="s">
        <v>1</v>
      </c>
      <c r="F329" s="133" t="s">
        <v>2</v>
      </c>
      <c r="G329" s="134" t="s">
        <v>8</v>
      </c>
      <c r="H329" s="135" t="s">
        <v>9</v>
      </c>
      <c r="I329" s="136" t="s">
        <v>23</v>
      </c>
      <c r="J329" s="137" t="s">
        <v>11</v>
      </c>
      <c r="K329" s="138" t="s">
        <v>3</v>
      </c>
      <c r="L329" s="139" t="s">
        <v>416</v>
      </c>
      <c r="M329" s="140" t="s">
        <v>4</v>
      </c>
      <c r="N329" s="141">
        <f>SUM(K330:K331)</f>
      </c>
    </row>
    <row r="330">
      <c r="A330" s="35" t="s">
        <v>46</v>
      </c>
      <c r="B330" s="34" t="s">
        <v>46</v>
      </c>
      <c r="C330" s="35" t="s">
        <v>46</v>
      </c>
      <c r="D330" s="35" t="s">
        <v>46</v>
      </c>
      <c r="E330" s="34" t="s">
        <v>46</v>
      </c>
      <c r="F330" s="35" t="s">
        <v>46</v>
      </c>
      <c r="G330" s="34" t="s">
        <v>46</v>
      </c>
      <c r="H330" s="34" t="s">
        <v>46</v>
      </c>
      <c r="I330" s="35"/>
      <c r="J330" s="35"/>
      <c r="K330" s="37"/>
    </row>
    <row r="331">
      <c r="A331" s="35" t="s">
        <v>46</v>
      </c>
      <c r="B331" s="34" t="s">
        <v>46</v>
      </c>
      <c r="C331" s="35" t="s">
        <v>46</v>
      </c>
      <c r="D331" s="35" t="s">
        <v>46</v>
      </c>
      <c r="E331" s="34" t="s">
        <v>46</v>
      </c>
      <c r="F331" s="35" t="s">
        <v>46</v>
      </c>
      <c r="G331" s="34" t="s">
        <v>46</v>
      </c>
      <c r="H331" s="34" t="s">
        <v>46</v>
      </c>
      <c r="I331" s="35"/>
      <c r="J331" s="35"/>
      <c r="K331" s="37"/>
    </row>
    <row r="332">
      <c r="A332" s="142" t="s">
        <v>15</v>
      </c>
      <c r="B332" s="143" t="s">
        <v>16</v>
      </c>
      <c r="C332" s="144" t="s">
        <v>10</v>
      </c>
      <c r="D332" s="145" t="s">
        <v>6</v>
      </c>
      <c r="E332" s="146" t="s">
        <v>1</v>
      </c>
      <c r="F332" s="147" t="s">
        <v>2</v>
      </c>
      <c r="G332" s="148" t="s">
        <v>8</v>
      </c>
      <c r="H332" s="149" t="s">
        <v>9</v>
      </c>
      <c r="I332" s="150" t="s">
        <v>23</v>
      </c>
      <c r="J332" s="151" t="s">
        <v>11</v>
      </c>
      <c r="K332" s="152" t="s">
        <v>3</v>
      </c>
      <c r="L332" s="153" t="s">
        <v>417</v>
      </c>
      <c r="M332" s="154" t="s">
        <v>4</v>
      </c>
      <c r="N332" s="155">
        <f>SUM(K333:K334)</f>
      </c>
    </row>
    <row r="333">
      <c r="A333" s="35" t="s">
        <v>46</v>
      </c>
      <c r="B333" s="34" t="s">
        <v>46</v>
      </c>
      <c r="C333" s="35" t="s">
        <v>46</v>
      </c>
      <c r="D333" s="35" t="s">
        <v>46</v>
      </c>
      <c r="E333" s="34" t="s">
        <v>46</v>
      </c>
      <c r="F333" s="35" t="s">
        <v>46</v>
      </c>
      <c r="G333" s="34" t="s">
        <v>46</v>
      </c>
      <c r="H333" s="34" t="s">
        <v>46</v>
      </c>
      <c r="I333" s="35"/>
      <c r="J333" s="35"/>
      <c r="K333" s="37"/>
    </row>
    <row r="334">
      <c r="A334" s="38" t="s">
        <v>46</v>
      </c>
      <c r="B334" s="38" t="s">
        <v>46</v>
      </c>
      <c r="C334" s="38" t="s">
        <v>46</v>
      </c>
      <c r="D334" s="38" t="s">
        <v>46</v>
      </c>
      <c r="E334" s="38" t="s">
        <v>46</v>
      </c>
      <c r="F334" s="38" t="s">
        <v>46</v>
      </c>
      <c r="G334" s="38" t="s">
        <v>46</v>
      </c>
      <c r="H334" s="38" t="s">
        <v>46</v>
      </c>
      <c r="I334" s="38" t="s">
        <v>46</v>
      </c>
      <c r="J334" s="38" t="s">
        <v>46</v>
      </c>
      <c r="K334" s="38" t="s">
        <v>46</v>
      </c>
    </row>
    <row r="337" spans="1:14" ht="42" x14ac:dyDescent="0.15">
      <c r="L337" s="5" t="s">
        <v>5</v>
      </c>
      <c r="M337" s="6" t="s">
        <v>4</v>
      </c>
      <c r="N337" s="7">
        <f>SUM(N1:N335)</f>
      </c>
    </row>
  </sheetData>
  <mergeCells count="35">
    <mergeCell ref="B4:H4"/>
    <mergeCell ref="A3:K3"/>
    <mergeCell ref="A1:K1"/>
    <mergeCell ref="B5:H5"/>
    <mergeCell ref="B6:H6"/>
    <mergeCell ref="B7:H7"/>
    <mergeCell ref="B8:H8"/>
    <mergeCell ref="A13:K13"/>
    <mergeCell ref="B14:J14"/>
    <mergeCell ref="I10:J10"/>
    <mergeCell ref="B9:H9"/>
    <mergeCell ref="B15:J15"/>
    <mergeCell ref="B16:J16"/>
    <mergeCell ref="B17:J17"/>
    <mergeCell ref="B18:J18"/>
    <mergeCell ref="B19:J19"/>
    <mergeCell ref="B20:J20"/>
    <mergeCell ref="B21:J21"/>
    <mergeCell ref="B22:J22"/>
    <mergeCell ref="B23:J23"/>
  </mergeCells>
  <phoneticPr fontId="1" type="noConversion"/>
  <pageMargins left="0.39000000000000007" right="0.39000000000000007" top="0.87" bottom="0.59" header="0.2" footer="0.2"/>
  <pageSetup paperSize="9" orientation="landscape" r:id="rId1"/>
  <headerFooter>
    <oddHeader>&amp;R&amp;G</oddHeader>
    <oddFooter><![CDATA[&L&8Sheet: &A
File: &F&C&8Version: 
Date: &R&8&P of &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3" x14ac:dyDescent="0.15"/>
  <cols>
    <col min="1" max="1" customWidth="true" style="1" width="21.33203125"/>
    <col min="2" max="2" customWidth="true" style="1" width="28.6640625"/>
    <col min="3" max="3" customWidth="true" style="1" width="7.1640625"/>
    <col min="4" max="4" customWidth="true" style="1" width="69.5"/>
    <col min="5" max="16384" style="1" width="8.83203125"/>
  </cols>
  <sheetData/>
  <pageMargins left="0.39000000000000007" right="0.39000000000000007" top="0.87" bottom="0.59" header="0.2" footer="0.2"/>
  <pageSetup paperSize="9" orientation="landscape" r:id="rId1"/>
  <headerFooter>
    <oddHeader>&amp;R&amp;G</oddHeader>
    <oddFooter><![CDATA[&L&8Sheet: &A
File: &F&C&8Version: 
Date: &R&8&P of &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CIS Marking Scheme Import</vt:lpstr>
      <vt:lpstr>Calculations</vt:lpstr>
    </vt:vector>
  </TitlesOfParts>
  <Company>WorldSkills International Secretariat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2010-04-27T04:25:00Z</dcterms:created>
  <dc:creator>Adam Walsh</dc:creator>
  <cp:lastModifiedBy>Microsoft Office User</cp:lastModifiedBy>
  <cp:lastPrinted>2010-04-28T04:08:36Z</cp:lastPrinted>
  <dcterms:modified xsi:type="dcterms:W3CDTF">2022-03-24T02:45:09Z</dcterms:modified>
</cp:coreProperties>
</file>