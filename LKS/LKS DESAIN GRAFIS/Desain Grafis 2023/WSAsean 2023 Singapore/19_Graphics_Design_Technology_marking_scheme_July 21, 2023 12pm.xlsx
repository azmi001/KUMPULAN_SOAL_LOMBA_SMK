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TVET Trainer\Downloads\"/>
    </mc:Choice>
  </mc:AlternateContent>
  <xr:revisionPtr revIDLastSave="0" documentId="13_ncr:1_{922A26C6-3D0C-4D56-A336-1A966EC30919}" xr6:coauthVersionLast="47" xr6:coauthVersionMax="47" xr10:uidLastSave="{00000000-0000-0000-0000-000000000000}"/>
  <bookViews>
    <workbookView xWindow="-120" yWindow="-120" windowWidth="29040" windowHeight="15840" xr2:uid="{00000000-000D-0000-FFFF-FFFF00000000}"/>
  </bookViews>
  <sheets>
    <sheet name="CIS Marking Scheme Import" sheetId="1" r:id="rId1"/>
    <sheet name="Calculations"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tzujTo1ADRH9VmDzo9cod3HUgffP5pwU/nlNhsU7mec="/>
    </ext>
  </extLst>
</workbook>
</file>

<file path=xl/calcChain.xml><?xml version="1.0" encoding="utf-8"?>
<calcChain xmlns="http://schemas.openxmlformats.org/spreadsheetml/2006/main">
  <c r="N567" i="1" l="1"/>
  <c r="N564" i="1"/>
  <c r="N561" i="1"/>
  <c r="N558" i="1"/>
  <c r="N555" i="1"/>
  <c r="N552" i="1"/>
  <c r="N397" i="1"/>
  <c r="N179" i="1"/>
  <c r="N26" i="1"/>
  <c r="J9" i="1"/>
  <c r="K9" i="1" s="1"/>
  <c r="J8" i="1"/>
  <c r="K8" i="1" s="1"/>
  <c r="J7" i="1"/>
  <c r="K7" i="1" s="1"/>
  <c r="J6" i="1"/>
  <c r="K6" i="1" s="1"/>
  <c r="J5" i="1"/>
  <c r="K5" i="1" s="1"/>
  <c r="K10" i="1" l="1"/>
  <c r="N57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312" authorId="0" shapeId="0" xr:uid="{00000000-0006-0000-0000-000001000000}">
      <text>
        <r>
          <rPr>
            <sz val="10"/>
            <color theme="1"/>
            <rFont val="Arial"/>
            <scheme val="minor"/>
          </rPr>
          <t>======
ID#AAAA1Z3cBuM
    (2023-07-20 06:39:47)
need to be corrected
	-Luky Wiranda</t>
        </r>
      </text>
    </comment>
  </commentList>
  <extLst>
    <ext xmlns:r="http://schemas.openxmlformats.org/officeDocument/2006/relationships" uri="GoogleSheetsCustomDataVersion2">
      <go:sheetsCustomData xmlns:go="http://customooxmlschemas.google.com/" r:id="rId1" roundtripDataSignature="AMtx7mjICgQQaQZtKGRLBGgRWf218c06UQ=="/>
    </ext>
  </extLst>
</comments>
</file>

<file path=xl/sharedStrings.xml><?xml version="1.0" encoding="utf-8"?>
<sst xmlns="http://schemas.openxmlformats.org/spreadsheetml/2006/main" count="1568" uniqueCount="645">
  <si>
    <t>19 Graphics Design Technology</t>
  </si>
  <si>
    <t>WorldSkills Standards Specification</t>
  </si>
  <si>
    <t>Section</t>
  </si>
  <si>
    <t>WSSS Marks</t>
  </si>
  <si>
    <t>Aspect Marks</t>
  </si>
  <si>
    <t>Variation</t>
  </si>
  <si>
    <t>Work organization and management</t>
  </si>
  <si>
    <t>Communication and interpersonal skills</t>
  </si>
  <si>
    <t>Problem solving</t>
  </si>
  <si>
    <t>Innovation, creativity, and design</t>
  </si>
  <si>
    <t>Technical aspects and output</t>
  </si>
  <si>
    <t>Total Variation</t>
  </si>
  <si>
    <t>Criteria</t>
  </si>
  <si>
    <t>ID</t>
  </si>
  <si>
    <t>Name</t>
  </si>
  <si>
    <t>Mark</t>
  </si>
  <si>
    <t>A</t>
  </si>
  <si>
    <t>Day 1: Packaging Design</t>
  </si>
  <si>
    <t>B</t>
  </si>
  <si>
    <t>Day 2: Editorial Design</t>
  </si>
  <si>
    <t>C</t>
  </si>
  <si>
    <t>Day 3: Corporate Identity Design</t>
  </si>
  <si>
    <t>D</t>
  </si>
  <si>
    <t>E</t>
  </si>
  <si>
    <t>F</t>
  </si>
  <si>
    <t>G</t>
  </si>
  <si>
    <t>H</t>
  </si>
  <si>
    <t>I</t>
  </si>
  <si>
    <t>Sub
Criterion
ID</t>
  </si>
  <si>
    <t>Sub Criterion
Name or Description</t>
  </si>
  <si>
    <t>Day of Marking</t>
  </si>
  <si>
    <t>Aspect
Type
M = Meas
J = Judg</t>
  </si>
  <si>
    <t>Aspect - Description</t>
  </si>
  <si>
    <t>Judg Score</t>
  </si>
  <si>
    <t>Extra Aspect Description (Meas or Judg)
OR
Judgement Score Description (Judg only)</t>
  </si>
  <si>
    <t>Requirement
(Measurement Only)</t>
  </si>
  <si>
    <t>WSSS Section</t>
  </si>
  <si>
    <t>Calculation Row 
(Export only)</t>
  </si>
  <si>
    <t>Max
Mark</t>
  </si>
  <si>
    <t>Criterion A</t>
  </si>
  <si>
    <t>Total
Mark</t>
  </si>
  <si>
    <t>A1</t>
  </si>
  <si>
    <t>Creative Process</t>
  </si>
  <si>
    <t>J</t>
  </si>
  <si>
    <r>
      <rPr>
        <sz val="10"/>
        <color theme="1"/>
        <rFont val="Arial"/>
      </rPr>
      <t xml:space="preserve">Ideas and originality </t>
    </r>
    <r>
      <rPr>
        <sz val="10"/>
        <color rgb="FFFF00FF"/>
        <rFont val="Arial"/>
      </rPr>
      <t>(logo)</t>
    </r>
  </si>
  <si>
    <t>not suitable, unoriginal, lacks creativity</t>
  </si>
  <si>
    <t>are suitable for the brief (minimal creativity)</t>
  </si>
  <si>
    <t>are creative and innovative</t>
  </si>
  <si>
    <t>are exceptional, creative and innovative (including use of additional elements)</t>
  </si>
  <si>
    <r>
      <rPr>
        <sz val="10"/>
        <color theme="1"/>
        <rFont val="Arial"/>
      </rPr>
      <t xml:space="preserve">Quality of the colours (choice, balance, harmony) </t>
    </r>
    <r>
      <rPr>
        <sz val="10"/>
        <color rgb="FFFF00FF"/>
        <rFont val="Arial"/>
      </rPr>
      <t>(logo)</t>
    </r>
  </si>
  <si>
    <t>Colours not appropriate</t>
  </si>
  <si>
    <t>Some consideration of colour harmony and balance</t>
  </si>
  <si>
    <t>Effective colour harmony and balance</t>
  </si>
  <si>
    <t>Very effective colour harmony and balance</t>
  </si>
  <si>
    <t>A2</t>
  </si>
  <si>
    <t>Final Design</t>
  </si>
  <si>
    <r>
      <rPr>
        <sz val="10"/>
        <color theme="1"/>
        <rFont val="Arial"/>
      </rPr>
      <t xml:space="preserve">Quality of the typography (choice of type, legibility and formatting) </t>
    </r>
    <r>
      <rPr>
        <sz val="10"/>
        <color rgb="FFFF00FF"/>
        <rFont val="Arial"/>
      </rPr>
      <t xml:space="preserve"> (logo)</t>
    </r>
  </si>
  <si>
    <t>Not suitable</t>
  </si>
  <si>
    <t>Typeface choice, legibility, formatting</t>
  </si>
  <si>
    <t>Typeface choice, unity, legibility, appropriateness, formatting</t>
  </si>
  <si>
    <t>Typeface choice, unity, legibility, appropriateness, formatting, style choice, kerning/leading, alignment</t>
  </si>
  <si>
    <r>
      <rPr>
        <sz val="10"/>
        <color theme="1"/>
        <rFont val="Arial"/>
      </rPr>
      <t xml:space="preserve">Visibility, Functionality and usability of logo in various size of the logo </t>
    </r>
    <r>
      <rPr>
        <sz val="10"/>
        <color rgb="FFFF00FF"/>
        <rFont val="Arial"/>
      </rPr>
      <t>(logo)</t>
    </r>
  </si>
  <si>
    <t>Is not visibility, functionality and usability</t>
  </si>
  <si>
    <t>Is partly visibility, functionality and usability</t>
  </si>
  <si>
    <t>Is both visibility, functionality and usability</t>
  </si>
  <si>
    <t>Is exceptionally visibility, functionality and usability</t>
  </si>
  <si>
    <t>A3</t>
  </si>
  <si>
    <t>M</t>
  </si>
  <si>
    <t>Task 1: Timely submission of Task 1</t>
  </si>
  <si>
    <t>Yes or No</t>
  </si>
  <si>
    <t>A4</t>
  </si>
  <si>
    <t>Saving and File Format</t>
  </si>
  <si>
    <t>Saving in a specified formats and naming conventiones as required in the Task (T1)</t>
  </si>
  <si>
    <t>A5</t>
  </si>
  <si>
    <t>Knowledge of Prepress</t>
  </si>
  <si>
    <t>Logo created as specified in the task (T1)</t>
  </si>
  <si>
    <t xml:space="preserve">T1: Vector only and Trapping at 0.4pt ( if necessary ) </t>
  </si>
  <si>
    <t xml:space="preserve">Spot and CMYK colours are labelled in illustrator file as specified in the task (T1) </t>
  </si>
  <si>
    <t>T1: 2 spot ( PANTONE+ CMYK Coated ) and CMYK</t>
  </si>
  <si>
    <t>A6</t>
  </si>
  <si>
    <r>
      <rPr>
        <sz val="10"/>
        <color theme="1"/>
        <rFont val="Arial"/>
      </rPr>
      <t>Ideas and originality</t>
    </r>
    <r>
      <rPr>
        <sz val="10"/>
        <color rgb="FFFF00FF"/>
        <rFont val="Arial"/>
      </rPr>
      <t xml:space="preserve"> (label sticker)</t>
    </r>
  </si>
  <si>
    <r>
      <rPr>
        <sz val="10"/>
        <color theme="1"/>
        <rFont val="Arial"/>
      </rPr>
      <t xml:space="preserve">Quality of the colours (choice, balance, harmony) </t>
    </r>
    <r>
      <rPr>
        <sz val="10"/>
        <color rgb="FFFF00FF"/>
        <rFont val="Arial"/>
      </rPr>
      <t>(label sticker)</t>
    </r>
  </si>
  <si>
    <r>
      <rPr>
        <sz val="10"/>
        <color theme="1"/>
        <rFont val="Arial"/>
      </rPr>
      <t xml:space="preserve">Ideas and originality </t>
    </r>
    <r>
      <rPr>
        <sz val="10"/>
        <color rgb="FFFF00FF"/>
        <rFont val="Arial"/>
      </rPr>
      <t>(label sticker)</t>
    </r>
  </si>
  <si>
    <t>A7</t>
  </si>
  <si>
    <r>
      <rPr>
        <sz val="10"/>
        <color theme="1"/>
        <rFont val="Arial"/>
      </rPr>
      <t xml:space="preserve">Quality of the colours (choice, balance, harmony)  </t>
    </r>
    <r>
      <rPr>
        <sz val="10"/>
        <color rgb="FFFF00FF"/>
        <rFont val="Arial"/>
      </rPr>
      <t>(gift packaging)</t>
    </r>
  </si>
  <si>
    <r>
      <rPr>
        <sz val="10"/>
        <color theme="1"/>
        <rFont val="Arial"/>
      </rPr>
      <t xml:space="preserve">Creativity of  image manipulation (at least 2 images) and/or vector objects </t>
    </r>
    <r>
      <rPr>
        <sz val="10"/>
        <color rgb="FFFF00FF"/>
        <rFont val="Arial"/>
      </rPr>
      <t>(gift packaging)</t>
    </r>
  </si>
  <si>
    <t>not effective</t>
  </si>
  <si>
    <t>basic</t>
  </si>
  <si>
    <t>suitability, quality and effectiveness</t>
  </si>
  <si>
    <t>creativity, suitability, quality, effectiveness</t>
  </si>
  <si>
    <t>A8</t>
  </si>
  <si>
    <r>
      <rPr>
        <sz val="10"/>
        <color theme="1"/>
        <rFont val="Arial"/>
      </rPr>
      <t xml:space="preserve">Unity and relationship between </t>
    </r>
    <r>
      <rPr>
        <sz val="10"/>
        <color rgb="FFFF00FF"/>
        <rFont val="Arial"/>
      </rPr>
      <t>(all tasks)</t>
    </r>
  </si>
  <si>
    <t>complete mismatch</t>
  </si>
  <si>
    <t>some elements are unified</t>
  </si>
  <si>
    <t>most elements are unified</t>
  </si>
  <si>
    <t>all elements are unified</t>
  </si>
  <si>
    <r>
      <rPr>
        <sz val="10"/>
        <color theme="1"/>
        <rFont val="Arial"/>
      </rPr>
      <t>Understanding target market (tourism)</t>
    </r>
    <r>
      <rPr>
        <sz val="10"/>
        <color rgb="FFFF00FF"/>
        <rFont val="Arial"/>
      </rPr>
      <t xml:space="preserve"> (all tasks)</t>
    </r>
  </si>
  <si>
    <t>Not appropriate for the target market</t>
  </si>
  <si>
    <t>Colours, elements, typography are sufficient</t>
  </si>
  <si>
    <t>Colours, elements, typography have been considered and applied well</t>
  </si>
  <si>
    <t>Colours, elements, typography are very well suited</t>
  </si>
  <si>
    <t>A9</t>
  </si>
  <si>
    <r>
      <rPr>
        <sz val="10"/>
        <color theme="1"/>
        <rFont val="Arial"/>
      </rPr>
      <t>Quality of the typography (choice of type, legibility and formatting)</t>
    </r>
    <r>
      <rPr>
        <sz val="10"/>
        <color rgb="FFFF00FF"/>
        <rFont val="Arial"/>
      </rPr>
      <t xml:space="preserve"> (label sticker)</t>
    </r>
  </si>
  <si>
    <t>Typeface choice, colour, unity, legibility, appropriateness, formatting</t>
  </si>
  <si>
    <t>Typeface choice, colour, unity, legibility, appropriateness, formatting, style choice, kerning/leading, alignment</t>
  </si>
  <si>
    <r>
      <rPr>
        <sz val="10"/>
        <color theme="1"/>
        <rFont val="Arial"/>
      </rPr>
      <t>Functionality and Visibility of</t>
    </r>
    <r>
      <rPr>
        <sz val="10"/>
        <color rgb="FFFF00FF"/>
        <rFont val="Arial"/>
      </rPr>
      <t xml:space="preserve"> (label sticker)</t>
    </r>
  </si>
  <si>
    <t>Is not usable or functional</t>
  </si>
  <si>
    <t>Is partly usable and functional</t>
  </si>
  <si>
    <t>Is both usable and functional</t>
  </si>
  <si>
    <t>Is exceptionally usable and functional</t>
  </si>
  <si>
    <t>A10</t>
  </si>
  <si>
    <r>
      <rPr>
        <sz val="10"/>
        <color theme="1"/>
        <rFont val="Arial"/>
      </rPr>
      <t xml:space="preserve">Quality of the typography (choice of type, legibility and formatting) </t>
    </r>
    <r>
      <rPr>
        <sz val="10"/>
        <color rgb="FFFF00FF"/>
        <rFont val="Arial"/>
      </rPr>
      <t>(gift packaging)</t>
    </r>
  </si>
  <si>
    <r>
      <rPr>
        <sz val="10"/>
        <color theme="1"/>
        <rFont val="Arial"/>
      </rPr>
      <t xml:space="preserve">Functionality and usability of the 3D mock up </t>
    </r>
    <r>
      <rPr>
        <sz val="10"/>
        <color rgb="FFFF00FF"/>
        <rFont val="Arial"/>
      </rPr>
      <t>(gift packaging)</t>
    </r>
  </si>
  <si>
    <t>Creativity use of  images (at least 2 images) and/or vector objects (gift packaging)</t>
  </si>
  <si>
    <r>
      <rPr>
        <sz val="10"/>
        <color theme="1"/>
        <rFont val="Arial"/>
      </rPr>
      <t xml:space="preserve">Visual Impact &amp; Communication effectiveness       </t>
    </r>
    <r>
      <rPr>
        <sz val="10"/>
        <color rgb="FFFF00FF"/>
        <rFont val="Arial"/>
      </rPr>
      <t>(gift packaging)</t>
    </r>
  </si>
  <si>
    <t>Poor visual impact and does not communicate effectively</t>
  </si>
  <si>
    <t>Sufficient visual impact and communication</t>
  </si>
  <si>
    <t>Effective visual impact and communication</t>
  </si>
  <si>
    <t>Strong visual impact and communication</t>
  </si>
  <si>
    <t>A11</t>
  </si>
  <si>
    <t>Poor visual composition, client would not be satisfied</t>
  </si>
  <si>
    <t>Minimal elements used appropriately</t>
  </si>
  <si>
    <t>Effective layout, aesthetics, typography, image usage</t>
  </si>
  <si>
    <t>Strong consideration of layout, aesthetics, balance, flow, image usage, composition, typography, colour</t>
  </si>
  <si>
    <t>A12</t>
  </si>
  <si>
    <t xml:space="preserve"> Visual Presentation</t>
  </si>
  <si>
    <t>Mockups are of poor quality and have not been cut well, may be messy, upside-down, not centred, not duplexed, packaging does not open or close well</t>
  </si>
  <si>
    <t>Mockups are cut well, clean, packaging open and closes well, facing correctly, centred, duplexed</t>
  </si>
  <si>
    <t>Mockups are of a very high standard, very clean, cut well, facing correctly, centred, duplexed, packaging open and closes firmly.</t>
  </si>
  <si>
    <t>A13</t>
  </si>
  <si>
    <r>
      <rPr>
        <sz val="10"/>
        <color theme="1"/>
        <rFont val="Arial"/>
      </rPr>
      <t xml:space="preserve">Quality of mounting </t>
    </r>
    <r>
      <rPr>
        <sz val="10"/>
        <color rgb="FFFF00FF"/>
        <rFont val="Arial"/>
      </rPr>
      <t>(all tasks)</t>
    </r>
  </si>
  <si>
    <t>Mounting is of poor quality and may include one or more of the following: messy, not centred, not straight, not flat</t>
  </si>
  <si>
    <t>Mounting is acceptable (could be presented to a client) is generally clean, centred, straight and flat</t>
  </si>
  <si>
    <t>Mounting is of a high standard, minimal glue/tape marks or lines, clean, centred, straight and flat</t>
  </si>
  <si>
    <t>Mounting is of a very high standard, no glue/tape marks or lines, very clean, is centred, straight and flat, may include additional information (eg: colour guide)</t>
  </si>
  <si>
    <t>A14</t>
  </si>
  <si>
    <t>Supply of printouts only (T2)</t>
  </si>
  <si>
    <t>T2 :
3 Sauce Label Stickers ( front and back ) EACH sauce labeled design printed at 100% A3 with bleed, dieline, colour bars and registration marks and trim marks only.</t>
  </si>
  <si>
    <t>Dieline supplied as specified in the
Sauce Label Sticker. (T2)</t>
  </si>
  <si>
    <t>T2 : Dieline must be correct and functional, 
       1 spot named "dieline", overprint, different in appearance</t>
  </si>
  <si>
    <t>Supply of printouts for gift package design (T3)</t>
  </si>
  <si>
    <t>T3:
( A ) 1 printout 90% on A3 with bleed, dieline, colour bars, and 
         registration marks and trim marks only.
( B ) 1 printout trimmed at 90% and mounted on
         mounting board provided.</t>
  </si>
  <si>
    <t xml:space="preserve">Spot colours, Ink density and ICC profile used in the gift packaging design in PDF file as specified in the task (T3) </t>
  </si>
  <si>
    <t>T3: ( A ) 2 spot Pantone+ CMYK coated colours 
      ( B ) Ink density 300%
      ( C ) Coated GRACol 2006 (ISO 12647-2:2004)</t>
  </si>
  <si>
    <t>A15</t>
  </si>
  <si>
    <t>Software and Hardware</t>
  </si>
  <si>
    <t>Naming of dielines, dieline separate layers and clear window supplied as specified in the task. (T3)</t>
  </si>
  <si>
    <t>Sauce label Package assembled in 3D</t>
  </si>
  <si>
    <t>T2: ( 3 ) 3D mock-up individual sauce labled "flat" package at 100%, 
T3: 3D mock-up at 100% of the final Gift Packaging Design with
      a clear window to show the 3 Sauce labeled Sachets inside.</t>
  </si>
  <si>
    <t>Final dimensions of Sauce Label Sticker as specified in the task (T2)</t>
  </si>
  <si>
    <t>T2 : Sauce label Sticker : max dimension of dieline 90 x 130 mm 
      ( front and back )</t>
  </si>
  <si>
    <t>A16</t>
  </si>
  <si>
    <t>All required text is presented in the
Sauce Label Sticker (T2)</t>
  </si>
  <si>
    <t>T2 : Appendix 1.2 Task 2: text for Sauce Label Sticker.
( A ) Required text on Front of sachet and Back Side of
       Sauce Label Sticker:
( B ) Text required for the cooking method of the chosen sauce.</t>
  </si>
  <si>
    <t>All required elements are present in the
Sauce Label Sticker. (T2)</t>
  </si>
  <si>
    <t xml:space="preserve">T2 : 
Front Side of Sauce Label Sticker:
( A ) Brand logo, 
( B ) images ( At least 1 image to match the ingredient in each 
      Singapore sauce dish ) from  WSS2023_TP40_M1_IMAGES 
      folder.
( C ) Flavor of each Sauce Label Sticker.
</t>
  </si>
  <si>
    <t>Sauce Label Sticker created as specified
in the task  (T2)</t>
  </si>
  <si>
    <t>3 Sauce Label Sticker</t>
  </si>
  <si>
    <t>A17</t>
  </si>
  <si>
    <t>Final dimensions of gift packaging design as specified in the task (T3)</t>
  </si>
  <si>
    <t>T3: 297 mm x 420 mm (A3 flat)</t>
  </si>
  <si>
    <t>All required texts for gift packaging design is presented in the task (T3)</t>
  </si>
  <si>
    <t>T3: Appendix 1.3 Task 3 : For Gift Packaging Design</t>
  </si>
  <si>
    <t>A18</t>
  </si>
  <si>
    <t>All required images and elements used for
the gift packaging design (T3)</t>
  </si>
  <si>
    <t>T3: ( A ) Minimum of 2 images (raster) 
      ( B ) Brand logo 
      ( C ) Recycle symbol
      ( D ) Barcode
      ( E ) At Least 1 Illustration to represent the sauces</t>
  </si>
  <si>
    <t>T2 : 3 mm (tolerance 0.2 mm)</t>
  </si>
  <si>
    <t>Trimmed printouts for sauce label sticker design. (T2)</t>
  </si>
  <si>
    <t>Bleed value applied in the gift packaging design in PDF file as specified in the task (T3)</t>
  </si>
  <si>
    <t>T3: 3 mm ( tolerance of 0.2 mm )</t>
  </si>
  <si>
    <t>Trapping value applied in the gift packaging design as specified in the task (T3)</t>
  </si>
  <si>
    <t>T3: 0.4 pt (if necessary)</t>
  </si>
  <si>
    <t>A19</t>
  </si>
  <si>
    <t>Final production folder saved and naming as required in the task ( All tasks )</t>
  </si>
  <si>
    <t>1 folder on Desktop called 
"YY_MOD1" with subfolder Task 1, Task 2, Task 3;
Each folder contains original folder &amp; final folder containing native files, fonts, linked images and final PDF</t>
  </si>
  <si>
    <t>Saving in a specified PDF format as required
in the task (T1) and  (T2)</t>
  </si>
  <si>
    <t>T1: 1 PDF/X-4:2010
T2: 1 PDF/X-4:2010</t>
  </si>
  <si>
    <t>Saving in a specified formats and naming conventiones as required in the Task (T2)</t>
  </si>
  <si>
    <t>T2:  
( A ) YY_SauceLabelSticker.ai
( B ) YY_SauceLabelSticker.pdf</t>
  </si>
  <si>
    <t>Saving in a specified PDF format as
required in the task (T3)</t>
  </si>
  <si>
    <t xml:space="preserve">T3: PDF/X-4:2010 </t>
  </si>
  <si>
    <t>Saving in a specified formats and naming conventiones as required in the Task (T3)</t>
  </si>
  <si>
    <t>T3:
( A ) YY_GiftPackageDesign.ai
( B ) YY_GiftPackageDesign.pdf</t>
  </si>
  <si>
    <t>Instructions to Competitor</t>
  </si>
  <si>
    <t xml:space="preserve">T3:
( A ) Workstation number should be included outside of
     artwork area
( B ) JPEG are not accepted ( TIF / EPS / AI / PSD are acceptable )
( C ) T1: Final in Illustrator, T2: Final in Illustrator, T3: Final layout in    
     Illustrator </t>
  </si>
  <si>
    <t>A20</t>
  </si>
  <si>
    <t>Resolution of linked images as specified
in the task (T2)</t>
  </si>
  <si>
    <t>(A) Greyscale and colour image resolution between
     280 to 300 ppi 100 % OR bitmap image resolution
     between 600 to 1200ppi 100%.        
(B) Images must not be embedded.</t>
  </si>
  <si>
    <t>CMYK colours and Ink density used in
Sauce label Sticker design in PDF file as specified in the task (T2)</t>
  </si>
  <si>
    <t>T2 : 
( A ) ICC Profile: Coated GRACol 2006 (ISO 12647-2:2004)
( B ) Ink density 300%</t>
  </si>
  <si>
    <t>Fold lines, crop and registration marks supplied for gift packaging design (T3)</t>
  </si>
  <si>
    <t>T3: ( A ) Bleed 
      ( B ) Die line 
      ( C ) Fold line
      ( D ) MUST NOT have any Glue Area</t>
  </si>
  <si>
    <t>Resolution of linked, embedded or original images as specified in the task (T3)</t>
  </si>
  <si>
    <t>T3: 
( A ) Greyscale and colour image between 280 to 300 ppi (100%) 
      or bitmap image between 600 to 1200 ppi (100%)
( B ) Image must not embedded.</t>
  </si>
  <si>
    <t>A21</t>
  </si>
  <si>
    <t>Integration of Digital Media</t>
  </si>
  <si>
    <t>QR Code link to Cooking Method on YouTube</t>
  </si>
  <si>
    <t>T2 :  Correct QR code link added to the respective back of Sachet
( Singapore Chicken Rice, Singapore Chilli Crab  and Fish Head Curry )</t>
  </si>
  <si>
    <t>Dimension of the barcode and sp for
package design (T3)</t>
  </si>
  <si>
    <t>T3 : Barcode size (25 mm) width and must be 100% K
       ( measured from the printout by black to black bar )</t>
  </si>
  <si>
    <t>Criterion B</t>
  </si>
  <si>
    <t>B1</t>
  </si>
  <si>
    <t>TASK 1 Logo — Logo creative execution, idea and originality (Competitor uses "Design principles, for creating pleasing and meaningful aesthetics")</t>
  </si>
  <si>
    <t>Not suitable according to brief</t>
  </si>
  <si>
    <t>Logo / Brand is suitable for the brief (minimal creativity</t>
  </si>
  <si>
    <t>Logo / Brand is creative and innovative</t>
  </si>
  <si>
    <t>Logo / Brand is exceptional, creative and innovative (including
use of additional elements)</t>
  </si>
  <si>
    <t>TASK 1 Logo — Colours ("How to apply appropriate colours…")</t>
  </si>
  <si>
    <t>Not applied, or no colour use</t>
  </si>
  <si>
    <t>Satisfactory use of four PMS colours, correctly applied</t>
  </si>
  <si>
    <t>Interesting and creative colour choices correctly applied</t>
  </si>
  <si>
    <t>Outstanding use of colour, applied in a highly creative, appropriate and/or memorable manner</t>
  </si>
  <si>
    <t>TASK 1 Logo —Quality of composition (symbol+type lockup)</t>
  </si>
  <si>
    <t>Composition quality is not appropriate for the target market</t>
  </si>
  <si>
    <t>Composition is acceptable, but may encounter issues when scaled</t>
  </si>
  <si>
    <t>Composition is fairly balanced, elements well considered, safe to scale</t>
  </si>
  <si>
    <t>Composition is well balanced, will be effective at all sizes/as scaled</t>
  </si>
  <si>
    <t>TASK 1 Logo — Typeface choice and usage quality</t>
  </si>
  <si>
    <t>Typeface choice is not appropriate for the target market, usage of type (size, leading, kerning, etc) is not acceptable</t>
  </si>
  <si>
    <t>The lockup of the Eagle symbol and typeface choice are just
suitable. However, may encounter issues when scaled</t>
  </si>
  <si>
    <t>The lockup of the Eagle symbol and typeface choice are well
considered and balanced</t>
  </si>
  <si>
    <t>The lockup of the Eagle symbol and typeface choice are
exceptionally well balanced and would be effective at all sizes</t>
  </si>
  <si>
    <t>B2</t>
  </si>
  <si>
    <t>TASK 1 Animation — Understanding the target market ("Analyse target markets and the products being delivered")</t>
  </si>
  <si>
    <t>Colours, elements, typography are suitable for target auidence</t>
  </si>
  <si>
    <t>Colours, elements, typography have been considered and applied. Auidence and client professionally understood</t>
  </si>
  <si>
    <t>Colours, elements, typography are very well suited. Target market clearly understood. Client would be very happy.</t>
  </si>
  <si>
    <t>TASK 1 Animation — Creative and dynamic usage of logo, supporting graphic elements and colours ("Maintain original design concepts and improve the visual appeal")</t>
  </si>
  <si>
    <t>Animation is not satisfactory or incomplete</t>
  </si>
  <si>
    <t>Animation is bland, with consistent elements</t>
  </si>
  <si>
    <t>Animation is creative, with interesting and consistent elements</t>
  </si>
  <si>
    <t>Animation is outstanding, creative, relevant and consistent
elements making the brand more meaningful and memorable</t>
  </si>
  <si>
    <t>TASK 1 Animation — Animation Impact &amp; Communication effectiveness</t>
  </si>
  <si>
    <t>Poor visual impact and does not communicate effectively or is missing elements</t>
  </si>
  <si>
    <t>Strong visual impact that animates seemlessly and
communicates in a memorable and meaninful manner</t>
  </si>
  <si>
    <t>TASK 1 Animation — Ideas and originality (Competitor uses "Design
principles, for creating pleasing and meaningful aesthetics")</t>
  </si>
  <si>
    <t>Not suitable, unoriginal, lacks creativity</t>
  </si>
  <si>
    <t>Are suitable for the brief (minimal creativity)</t>
  </si>
  <si>
    <t>Are creative and innovative</t>
  </si>
  <si>
    <t>Are exceptional, creative and innovative (including use of
additional elements</t>
  </si>
  <si>
    <t>TASK 1: Quality of the mounted presentations and the printouts</t>
  </si>
  <si>
    <t>Mounting is of poor quality and may include one or more of the following: messy, placement not considered, not straight, not flat</t>
  </si>
  <si>
    <t>Mounting is acceptable (could be presented to a client) is generally clean, placement considered, straight and flat</t>
  </si>
  <si>
    <t>Mounting is of a high standard, minimal glue/tape marks or lines, clean, placement well considered, straight and flat</t>
  </si>
  <si>
    <t xml:space="preserve">Mounting is of a very high standard, no glue/tape marks or lines, very clean, placement well considered, straight and flat, additional information (e.g. name tag) well considered </t>
  </si>
  <si>
    <t>B3</t>
  </si>
  <si>
    <t>TASK 1_Logo_All work supplied as instructed within timeframe — 
("The time constraints of the industry")</t>
  </si>
  <si>
    <t xml:space="preserve">Files required for Task 01
1 x AI file
1 x PDF
1 x EPS
1 x SVG
1 x Packaged Adobe Illustrator Folder
1 x RGB video format: MP4 or MOV file type.1 x PSD or AEP
1 x Photoshop .psd layered file or After Effects .aep working project native file, packaged.
Any other Working files placed in a separate folder
1 x Print out of A4 Logo with tagline on A3 mounting board
</t>
  </si>
  <si>
    <t>yes or no</t>
  </si>
  <si>
    <t>TASK 1_Logo — File Naming correctly formatted</t>
  </si>
  <si>
    <r>
      <rPr>
        <sz val="10"/>
        <color theme="1"/>
        <rFont val="Arial"/>
      </rPr>
      <t>Logo file name for Task 01
YY represent the competitor number
YY_Logo_PMS.ai
YY_Logo_PMS_outline</t>
    </r>
    <r>
      <rPr>
        <b/>
        <sz val="10"/>
        <color theme="1"/>
        <rFont val="Arial"/>
      </rPr>
      <t>d</t>
    </r>
    <r>
      <rPr>
        <sz val="10"/>
        <color theme="1"/>
        <rFont val="Arial"/>
      </rPr>
      <t>.pdf
YY_Logo_CMYK_outlined.eps
YY_Logo_RGB_outlined.svg
YY_Animation_Project.psd or YY_Animation_Project.aep
YY_Animation_Project.mov or YY_Animation_Project.mp4</t>
    </r>
  </si>
  <si>
    <t>B4</t>
  </si>
  <si>
    <t>Logo - Knowledge in Prepress</t>
  </si>
  <si>
    <t>Task 1 _Logo — Displayed on an A4 page — ("The nature and purposes of client specifications and projects")</t>
  </si>
  <si>
    <t>Cleanly display your logo on an A4 landscape page
( 297mm x 210mm ) mounted on A3 board</t>
  </si>
  <si>
    <t xml:space="preserve">TASK 1_Logo — Set your logo to a maximum size of 180mm
at the longest edge (wide or high) </t>
  </si>
  <si>
    <t>Set your logo to a maximum size of 180mm at the longest edge (wide or high)</t>
  </si>
  <si>
    <t>TASK 1_Logo — Trapping — "Check work regularly to minimize problems that may arise at a later stage"</t>
  </si>
  <si>
    <t>Trapping — 0.40pt exactly (if required)</t>
  </si>
  <si>
    <t>TASK 1_Logo — Type used as specified</t>
  </si>
  <si>
    <t>No missing or additional words or letters, lettercase as specified in Task</t>
  </si>
  <si>
    <t>TASK 1_Logo and TASK 2 Brochure — CMYK colour swatches are consistent (And consistently identifyable across tasks - "How to provide consistency and refine a design")</t>
  </si>
  <si>
    <t>Check Acrobat PDF that Task 1 - Logo colours match those CMYK breakdowns used in Task 2- Brochure 
( Use Indesign or PDF )</t>
  </si>
  <si>
    <t>TASK 1_Logo — Colour mode as specified (Check PDF)</t>
  </si>
  <si>
    <t>FOUR (4) ( Pantone+CMYK Uncoated ) colours with no tints or gradients (only 100% of colour is allowed)</t>
  </si>
  <si>
    <t>TASK 1_Logo — Text converted to outlines</t>
  </si>
  <si>
    <t>All Logo text MUST BE converted to outlines for:
Logo_PMS_outlined.pdf
Logo_CMYK_outlined.eps
Logo_RGB_outlined.svg
only Logo_PMS.ai  ( MUST NOT be outlined )</t>
  </si>
  <si>
    <t>TASK 1_Logo — PDF type correct</t>
  </si>
  <si>
    <t>PDF File: PDF/X-4:2008</t>
  </si>
  <si>
    <t>TASK 1_Logo — 1 x PDF file with trim marks, colour bars showing spot colours, and registration marks</t>
  </si>
  <si>
    <t>Does the PDF have trim marks, colour bars showing spot colours, and registration marks</t>
  </si>
  <si>
    <t>B5</t>
  </si>
  <si>
    <t>Animation Size and Requirements</t>
  </si>
  <si>
    <t xml:space="preserve"> TASK 1 Animation — All Size and File Types are correct</t>
  </si>
  <si>
    <t>Size Specification:
1080px x 1080px
Your animation should be constructed in either
Photoshop or After Effects
Raster images: .tiff, .psd, .eps
Vector images: .ai, .eps</t>
  </si>
  <si>
    <t>TASK 1 Animation — Output guidelines</t>
  </si>
  <si>
    <t>Colour = RGB
Resolution = 72dpi
Video codec: H. 264
FPS: 30 Frames per second
The animation Duration
Between 00:05 and 00:10 seconds in length</t>
  </si>
  <si>
    <t xml:space="preserve"> TASK 1 Animation — All text present</t>
  </si>
  <si>
    <t>The text from Appendix 1.3 Text ( Task 1_Logo &amp; Animation )</t>
  </si>
  <si>
    <t>B6</t>
  </si>
  <si>
    <t>Final Design -Quality of Typography</t>
  </si>
  <si>
    <t>TASK 2 Brochure — Quality of the typographic Design - choice of type, legibility and formatting. Focus on all pages - less the first cover page.</t>
  </si>
  <si>
    <t>Typography is poor, Type choice, sizing, leading, spacing, kerning, matching are not well considered, or are not effective</t>
  </si>
  <si>
    <t>Typography is acceptable. Some of the following have been considered: Type choice, sizing, leading, spacing, kerning, matching merely considered</t>
  </si>
  <si>
    <t>Typography is of high quality. Type choice, sizing, leading, spacing, kerning, matching are considered</t>
  </si>
  <si>
    <t>Typography is exceptional. Type choice, sizing, leading, spacing, kerning, matching is all very well considered</t>
  </si>
  <si>
    <t>TASK 2 Brochure — Widows / Orphans / Auto-Hyphenation poorly used and other type inconsistencies</t>
  </si>
  <si>
    <t>No Consideration</t>
  </si>
  <si>
    <t>Some widows and orphans present, but alignment and emphasis added</t>
  </si>
  <si>
    <t>No widows and orphans present and most alignment and emphasis elements identified</t>
  </si>
  <si>
    <t>Excellent typography control with no widow, orphans or auto_x0002_hyphenation. Excellent and appropirate emphasis and alignment</t>
  </si>
  <si>
    <t>Task 3: Typographic Hierarchy and spacing is practical and appropriate (excluding logo from Task 1)</t>
  </si>
  <si>
    <t/>
  </si>
  <si>
    <t>minimal or no hierarchy to identify the level of importance of information</t>
  </si>
  <si>
    <t>some hierarchy to identify the level of importance of informations, spacing acceptable between typographic elements</t>
  </si>
  <si>
    <t>clear hierarchy of importance of information can be identified, spacing appropriate between typographic elements</t>
  </si>
  <si>
    <t>Hierarchy is well considered and apparent, distinct importance of information easily identified, spacing highly suitable for type size/type elements</t>
  </si>
  <si>
    <t>TASK 2 Brochure — Appropriate use of Font
("Use all the required elements to create designs" &amp; "Transform ideas into appropriate and creative designs")</t>
  </si>
  <si>
    <t>Font not suitable or not used</t>
  </si>
  <si>
    <t>Font would have legibility issues. Unskillfully used.</t>
  </si>
  <si>
    <t>Font used with appropriate colourisation, legibility, appropriateness</t>
  </si>
  <si>
    <t>Font used to enhance overall design with excellent colourisation, legibility, appropriateness, formatting, style choice, kerning/leading, alignment</t>
  </si>
  <si>
    <t>B7</t>
  </si>
  <si>
    <t>TASK 2 Brochure — Quality &amp; suitability of colours — choice, balance, harmony ("How to apply appropriate colours, typography and composition")</t>
  </si>
  <si>
    <t>Very poor suitablitiy choice and below standard quality eg. Faded in parts, colours weak</t>
  </si>
  <si>
    <t>Standard level of quality in colours, hold ok on the paper, colours are suitable, but don't stand out to much</t>
  </si>
  <si>
    <t>Above standard, at least the high quality or the suitability
of the colours.</t>
  </si>
  <si>
    <t>Excellent quality and suitability to the brief and target audience</t>
  </si>
  <si>
    <t>Task 2 Brocuhure - Quality of Infographic Page 3</t>
  </si>
  <si>
    <t>Infographic does not convey client messages and intentions with lack of understanding. Overall bad typeface choice, colour, unity, legibility.</t>
  </si>
  <si>
    <t>The infographic conveys some of the client's messages and intentions with a clear understanding. Minimal quality in the choice of font, readability and formatting, but sufficiently suitable to enhance the quality of the design.</t>
  </si>
  <si>
    <t>The infographic conveys most of the client's messages and intentions with clear understanding. Good quality font choice, readability and formatting, appropriately thoughtful and effective  in the implementation of the design.</t>
  </si>
  <si>
    <t>The infographic conveys all the client's messages and intentions with clear understanding. The choice of font, colour, consistency, readability, formatting and style has a positive impact on the design.</t>
  </si>
  <si>
    <t>Task 2 Brocuhure - Quality of Mock up with Die Cut and Peforattion</t>
  </si>
  <si>
    <t>Poor quality and has not been cut well, for both Die cut shape window and torn out perforation of dicount card may be messy, not fully completed, or may not be correctly put together</t>
  </si>
  <si>
    <t>Acceptable (could be presented to a client) is generally cut well and stuck together well and cut out die cut shape and torn out peforation are fairly clean</t>
  </si>
  <si>
    <t>Cut and folded well, clean, facing correctly and stuck together with both die cut shape window and peforated tear out shape are clean.</t>
  </si>
  <si>
    <t>An exceptional standard, cut and folded very well, clean, facing correctly and stuck together. Die cut shape window and Tear out coupon are neatly done.</t>
  </si>
  <si>
    <t xml:space="preserve">TASK 2 Brochure — Harmony of overall brochure pages with Die Cut Shape and perforation applications  </t>
  </si>
  <si>
    <t>Poor form composition, client would not be satisfied , die cut shape and perforation tear out  applications affected the overall harmony of the design.</t>
  </si>
  <si>
    <t xml:space="preserve">Minimal elements used appropriately , design harmony and the blend of Die Cut Shape Window and Perforation Tear Out application are somewhat affected </t>
  </si>
  <si>
    <t>Effective layout, good user experience aesthetics in the desgin with good integration of both Die Cut Shape and perforation tear out applications</t>
  </si>
  <si>
    <t>Strong consideration of layout, aesthetics and elements, outstanding user experience elements that integrate with the Die Cut Shape Window and Perforation tear out applications</t>
  </si>
  <si>
    <t>B8</t>
  </si>
  <si>
    <t>TASK 2 Brochure — Adjustments of 1 image size 30% larger that the 3 images montaged  with appropriate imagery.</t>
  </si>
  <si>
    <t>Adjustments not evident</t>
  </si>
  <si>
    <t>Some adjustments to imagery evident</t>
  </si>
  <si>
    <t>Effective imagery adjustments and some manipulation</t>
  </si>
  <si>
    <t>Very effective imagery adjustment and manipulations</t>
  </si>
  <si>
    <t>Task 3 Social Media_Instagram
Effective use of visual composition including typography</t>
  </si>
  <si>
    <t xml:space="preserve">Poor image selection, wrong timing, hardly readable due to an
unsuitable font </t>
  </si>
  <si>
    <t xml:space="preserve">Readable and gets the message across. Standard animation without great highlights </t>
  </si>
  <si>
    <t xml:space="preserve">Entertaining animation, good timing and nice picture selection, good font selection </t>
  </si>
  <si>
    <t>Excellent animation with beautiful and very appropriate images.
The message becomes clear and concise</t>
  </si>
  <si>
    <t>B9</t>
  </si>
  <si>
    <t>Branding -Social Media Innovation, Creativity &amp; Design</t>
  </si>
  <si>
    <t>TASK 3 Social Media — Adjustments aind manipulations of images as a collage with appropriate (ie: Monotone  and a mix of rgb colors, masking of images quality and heirachy of 1 image 30% bigger size in comparison to 5 others )</t>
  </si>
  <si>
    <t>Some adjustments to imagery / collage evident</t>
  </si>
  <si>
    <t>Effective imagery adjustments and some imagery / collage effect</t>
  </si>
  <si>
    <t>Very effective imagery adjustment and imagery / collage effect</t>
  </si>
  <si>
    <t>Task 3: Use and visual composition of images</t>
  </si>
  <si>
    <t>either not applied or lacking creativity (example: a 'cut and paste', without consideration for design enhancement)</t>
  </si>
  <si>
    <t>somewhat creative. Images are well chosen and arranged, may show some innovation</t>
  </si>
  <si>
    <t>creative, imaginative and innovative, may include use of additional elements</t>
  </si>
  <si>
    <t>very creative aspects included. Imaginative and highly innovative (including use of additional elements) to harmonize and enhance dynamics</t>
  </si>
  <si>
    <t>Task 3 Social Media_YouTube Banner
Effective use of visual composition including typography</t>
  </si>
  <si>
    <t xml:space="preserve">Entertaining animation, good timing and nice picture selection, 
good font selection </t>
  </si>
  <si>
    <t>B10</t>
  </si>
  <si>
    <t>TASK 2 Brochure — Design uses elements and pricipals of design to achieve balance</t>
  </si>
  <si>
    <t>Poor balance or flow of elements</t>
  </si>
  <si>
    <t>Minimal balance, but imagery and design elements used appropriately</t>
  </si>
  <si>
    <t>Effective balance, flow, image usage</t>
  </si>
  <si>
    <t>Strong consideration of balance, flow, image usage,
composition, excellent typographic hierarchy control and 'white space'</t>
  </si>
  <si>
    <t>Task 3: Unity and relationship between alternative Social Media  Layouts between U Tube Banner and Instagram</t>
  </si>
  <si>
    <t>Alternative layouts are not unified and are lacking cohesion between one another</t>
  </si>
  <si>
    <t>Most alternative layouts elements are unified, with cohesion between one another</t>
  </si>
  <si>
    <t>Alternative layouts are unified, with clear cohesion between one another.</t>
  </si>
  <si>
    <t>Alternative layouts are unified and enhance the overall strength of the Social Media.</t>
  </si>
  <si>
    <t>B11</t>
  </si>
  <si>
    <t>ALL TASKS — Meets clients needs — ("How to visualize and interpret customer wishes and make recommendations which meet design and budgetary requirements"&amp; "Use discretion and confidentiality when dealing with clients")</t>
  </si>
  <si>
    <t>Not suitable — Client would not be satisfied</t>
  </si>
  <si>
    <t>Meets the needs of the client</t>
  </si>
  <si>
    <t>Client would be very satisfied</t>
  </si>
  <si>
    <t>Excellent understanding of how to appeal to the client. 
Strong and aesthetically pleasing outcom</t>
  </si>
  <si>
    <t>ALL TASKS — Readability of typeface sizes ("Keep up to date with latest industry guidelines"</t>
  </si>
  <si>
    <t>Not suitable or issues present or type size too small for on-screen reading or in print</t>
  </si>
  <si>
    <t>Minimal consideration with colours or text sizes just suitable</t>
  </si>
  <si>
    <t>Functional considerations that help readablity.</t>
  </si>
  <si>
    <t>Highly accessible and easy to read. Strong contrasting colour choices. Appropriate sized text sizes.</t>
  </si>
  <si>
    <t>ALL TASKS — Work effectively communicates to the TARGET AUDIENCE</t>
  </si>
  <si>
    <t>Not suitable — Target market ignored</t>
  </si>
  <si>
    <t>good — Target audience would be engaged</t>
  </si>
  <si>
    <t>Excellent engagement and understanding of how to appeal to the target audience</t>
  </si>
  <si>
    <t>B12</t>
  </si>
  <si>
    <t>ALL TASKS — Awareness of current design trends</t>
  </si>
  <si>
    <t>Not suitable or archaic style not appropriate deployed</t>
  </si>
  <si>
    <t>Minimal, or dis-jointed elements used</t>
  </si>
  <si>
    <t>Effective, functional and contemporary choices used well</t>
  </si>
  <si>
    <t>Highly contemporary and modernised aesthetic, on trend and 'current' in application across all tasks</t>
  </si>
  <si>
    <t>ALL TASKS — Harmony across all tasks in creation of a usable corporate identity ("Principles and techniques for adapting graphics for various uses" &amp; "Respect existing corporate identity guidelines and style guides")</t>
  </si>
  <si>
    <t>Not suitable – animation and Brochure are vastly different in design</t>
  </si>
  <si>
    <t>Acceptable, there is a match between some elements, typography and colour</t>
  </si>
  <si>
    <t>B13</t>
  </si>
  <si>
    <t>Saving and File Naming</t>
  </si>
  <si>
    <t>TASK 2_Brochure_All work supplied as instructed within timeframe —  ("The time constraints of the industry")</t>
  </si>
  <si>
    <t>Files required for Task 02
1 x PDF-X4:2008
1 x PDF-X4:2008
1 x packaged Adobe InDesign file which includes all fonts and links used
Any other Working files placed in a separate folder
1 Printout of Brochuse_Inner on A3
1 Printout of Brochuse_Outer on A3
1 x Mockup</t>
  </si>
  <si>
    <t>TASK 2_Brochure_Naming and Deliverables</t>
  </si>
  <si>
    <t>Logo file name for Task 02
YY represent the competitor number
YY_Brochure_Inner.indd
YY_Brochure_Outer.indd
YY_Brochure_Inner.pdf
YY_Brochure_Outer.pdf</t>
  </si>
  <si>
    <t>TASK3_Social Media — File Naming &amp; Digital Deliverables</t>
  </si>
  <si>
    <t>Note: YY represents your Competitor number
YY_YouTube_Banner.psd
YY_YouTube_Banner_Desktop.psd
YY_YouTube_Banner_Mobile.psd
YY_YouTube_Banner.jpg
YY_YouTube_Banner_Desktop.jpg
YY_YouTube_Banner_Mobile.jpg
YY_Instagram_Post.psd
YY_Instagram_Post_Desktop.psd
YY_Instagram_Post.jpg
YY_Instagram_Post_Desktop.jpg</t>
  </si>
  <si>
    <t>B14</t>
  </si>
  <si>
    <t>Visual Presentation</t>
  </si>
  <si>
    <t>TASK 3_Social Media_( You Tube )  Print Deliverables</t>
  </si>
  <si>
    <t>TASK 3_Social Media_( Instagram ) Print Deliverables</t>
  </si>
  <si>
    <t>Mock up of Brochure at 100% A4 Sie ( (297mm x 210mm ) with Cover die-cut shape and perforated tear out dieline Tear Out coupon .</t>
  </si>
  <si>
    <t xml:space="preserve">TASK 2_Brochure Mock up </t>
  </si>
  <si>
    <t>Brochure Layout: double sided ( Tri-fold ) 
Follow image reference of Brochure as shown on test paper 
Brochure Mock up at 100% Size
( 297mm X 210mm_Open format )
Showcasing actual sample die-cut shape hole and simulated tear out discount coupon. ( without folding lines )</t>
  </si>
  <si>
    <t>B15</t>
  </si>
  <si>
    <t>Digital Integration</t>
  </si>
  <si>
    <t>TASK 3_Social Media_( You Tube )  Mock Up</t>
  </si>
  <si>
    <t>Mock Up Requirements:
Apply the completed YouTube Banner to a Desktop mockup template provided with the Dimension of 2048 X 338px
( Add in the banner and Logo from task 1 ).
Apply the completed YouTube Banner to a Mobile Phone template provided with the dimension of 1235 X 338px.
Apply the completed Instagram Post to a Desktop mockup template provided with the dimension of 1080X1080px
RGB ( 72 ppi )</t>
  </si>
  <si>
    <t>B16</t>
  </si>
  <si>
    <t>TASK2_Brochure — Page Setup and Fold Type</t>
  </si>
  <si>
    <t>FOLD Type:
6pp Tri Fold Brochure format based on sample image shown in question paper 297mm x 210mm ( open format )
Margin Setup:
Top 1.3cm, Bottom 1.6mm, Inside Gutter at 0.8cm, Outside 1.5cm</t>
  </si>
  <si>
    <t>TASK2_Brochure — Page Requirements ( Page 1 )</t>
  </si>
  <si>
    <t>Die-Cut Shape applied
( to create a sneak preview of Tear Out Coupon beneath it )
( both die-cut shape and tear out coupon position need to be in sync )
Montage of 3 chosen images
( images but not be used more than once )
Varnish applied on Logo &amp; Tagline from Task 1</t>
  </si>
  <si>
    <t>TASK2_Brochure — Page Requirements ( Page 2 )</t>
  </si>
  <si>
    <t>TASK2_Brochure — Page Requirements ( Page 3 )</t>
  </si>
  <si>
    <t>No images required
Create at least 4 Infographics for the instructions on usage of product.</t>
  </si>
  <si>
    <t>B17</t>
  </si>
  <si>
    <t>TASK2_Brochure — Page Requirements ( Page 4 )</t>
  </si>
  <si>
    <r>
      <rPr>
        <sz val="10"/>
        <color theme="1"/>
        <rFont val="Arial"/>
      </rPr>
      <t>Back s</t>
    </r>
    <r>
      <rPr>
        <sz val="10"/>
        <color theme="1"/>
        <rFont val="Arial"/>
      </rPr>
      <t>ide Tear Out Coup</t>
    </r>
    <r>
      <rPr>
        <sz val="10"/>
        <color theme="1"/>
        <rFont val="Arial"/>
      </rPr>
      <t>on must be applied on Page 4
( Back coupon must be in sync with the position of the
front coupon in Page 5 )
Created QR Code applied onto the back of the Coupon with active link ( https://linktr.ee/healthbeats ) applied.
QR Code set in 100% Black and 26mm 
( from edge to edge of the black part ) ( set to overprint ) 
Image</t>
    </r>
    <r>
      <rPr>
        <b/>
        <sz val="10"/>
        <color rgb="FFFF0000"/>
        <rFont val="Arial"/>
      </rPr>
      <t xml:space="preserve"> “name to be confirmed” </t>
    </r>
    <r>
      <rPr>
        <sz val="10"/>
        <color theme="1"/>
        <rFont val="Arial"/>
      </rPr>
      <t>from Appendix 1.2 Images_Task 2 Folder ( Caption of the image name must be applied to the image in the brochure )</t>
    </r>
  </si>
  <si>
    <t>TASK2_Brochure — Page Requirements ( Page 5 )</t>
  </si>
  <si>
    <r>
      <rPr>
        <sz val="10"/>
        <color theme="1"/>
        <rFont val="Arial"/>
      </rPr>
      <t>Front side Tear Out Coupon must be applied on Page 5
( Front coupon must be in sync with the position of the back coupon in Page 4 )
Peforated line applied
( Perforation is marked with a dashed line or dots )
Image</t>
    </r>
    <r>
      <rPr>
        <b/>
        <sz val="10"/>
        <color rgb="FFFF0000"/>
        <rFont val="Arial"/>
      </rPr>
      <t xml:space="preserve"> “name to be confirmed” </t>
    </r>
    <r>
      <rPr>
        <sz val="10"/>
        <color theme="1"/>
        <rFont val="Arial"/>
      </rPr>
      <t>from Appendix 1.2 Images_Task 2 Folder ( Caption of the image name must be applied to the image in the brochure )
Image is placed on the Tear Out Coupon</t>
    </r>
  </si>
  <si>
    <t>TASK2_Brochure — Page Requirements ( Page 6 )</t>
  </si>
  <si>
    <r>
      <rPr>
        <sz val="10"/>
        <color theme="1"/>
        <rFont val="Arial"/>
      </rPr>
      <t xml:space="preserve">PAGE 6_Back Cover Page:
Image </t>
    </r>
    <r>
      <rPr>
        <b/>
        <sz val="10"/>
        <color rgb="FFFF0000"/>
        <rFont val="Arial"/>
      </rPr>
      <t>“name to be confirmed”</t>
    </r>
    <r>
      <rPr>
        <sz val="10"/>
        <color theme="1"/>
        <rFont val="Arial"/>
      </rPr>
      <t xml:space="preserve"> and</t>
    </r>
    <r>
      <rPr>
        <b/>
        <sz val="10"/>
        <color rgb="FFFF0000"/>
        <rFont val="Arial"/>
      </rPr>
      <t xml:space="preserve"> “Location Map” </t>
    </r>
    <r>
      <rPr>
        <sz val="10"/>
        <color theme="1"/>
        <rFont val="Arial"/>
      </rPr>
      <t>from Appendix 1.2 Images_Task 2 Folder
( Caption of the image name must be applied to the image in the brochure )</t>
    </r>
  </si>
  <si>
    <t>B18</t>
  </si>
  <si>
    <t>TASK2_Brochure — Image Labelling</t>
  </si>
  <si>
    <t>All images used must be labelled according to the actual name of the images used in In-design layers as well as applied to captions in brochure</t>
  </si>
  <si>
    <t>TASK2_Brochure — Specifications</t>
  </si>
  <si>
    <t>Varnish: 
Applied Varnish onto the Logo and Tagline from Task 1
Apply SPOT color to Varnish ( set to overprint )
Bleed: 4.0 mm (exactly)
ICC Profile: UnCoated Fogra29</t>
  </si>
  <si>
    <t xml:space="preserve"> TASK 2 Brochure —  Use of paragraphs styles in layout as specified</t>
  </si>
  <si>
    <t>Must use HEADLINES and BODY TEXT styles
( Consistently used with no overrides )
Paragraph Styles must be names as
"TItleStyle", "BodyStyle", "CaptionStyle", "PageNumberStyle"
Page Number NOT required in Page 1 and 6</t>
  </si>
  <si>
    <t>B19</t>
  </si>
  <si>
    <t xml:space="preserve"> TASK 2 Brochure — Flow of Pages</t>
  </si>
  <si>
    <t>Inner Pages ( from left to right_Page 2, 3 and 4 )
Outer Pages ( from left to right_Page 5, 6 and 1 )</t>
  </si>
  <si>
    <t xml:space="preserve"> TASK 2 Brochure - Color, Die-Cut Lines, Fold Line &amp; Perforated Line</t>
  </si>
  <si>
    <t>Output as CMYK Colour
Different Spot Colors applied for each othe the following...
( Die Cut Line, Fold Lines, Perforated Lines and Varnish )
and QR Code at 100% Black
All die-cut line, fold lines and perforation lines, spot color swatches and varnish must be labelled in layers in InDesign as well as in PDF.</t>
  </si>
  <si>
    <t xml:space="preserve"> TASK 2 Brochure — Die line Overprint and Point Size</t>
  </si>
  <si>
    <t>Die Cut Line, Fold Lines, Perforated Lines and Varnish and
QR Code at 100% Black ( All set to overprint )
All dielines set as 0.5pt size exactly
( Die-Cut Line, Fold Lines, Perforated Lines )</t>
  </si>
  <si>
    <t>B20</t>
  </si>
  <si>
    <t xml:space="preserve"> TASK 2 Brochure — All required text is present</t>
  </si>
  <si>
    <t>All text  from Appendix 1.2  Text for Brochure</t>
  </si>
  <si>
    <t xml:space="preserve"> TASK 2_Brochure PDF Requirements</t>
  </si>
  <si>
    <t>Brochure Inner.pdf 
PDF-X4:2008 with folding lines, crop marks, registration marks and colour bars.
Brochure Outer.pdf
PDF-X4:2008 with die cut line, perforated lines, varnish, folding lines, crop marks, registration marks, and colour bars</t>
  </si>
  <si>
    <t>TASK 2_Brochure Printouts Specifications</t>
  </si>
  <si>
    <t>TASK 2_Packaged Files</t>
  </si>
  <si>
    <t>Brochure Inner and Outer InDesign file packaged
( Includes all fonts and links used )</t>
  </si>
  <si>
    <t>B21</t>
  </si>
  <si>
    <t xml:space="preserve"> TASK 3 Social Media — All text present</t>
  </si>
  <si>
    <t>The text from Appendix 1.3 ( Task 3_Social Media Text )</t>
  </si>
  <si>
    <t>TASK 3_Social Media_Collage of Images Specifications</t>
  </si>
  <si>
    <t>6 Images must be used from Appendix 1.3 Images 
( none of the image must be reused  )
3 out of 6 images must be masked
1 out of 6 images color must be set to a 1 monotone color
1 main key image out of the 6 images must be 30% larger than the rest.</t>
  </si>
  <si>
    <t>B22</t>
  </si>
  <si>
    <t xml:space="preserve"> TASK 2 Brochure — Ink Density for all images</t>
  </si>
  <si>
    <t>Set as 300%</t>
  </si>
  <si>
    <t xml:space="preserve"> TASK 2 Brochure — Resolution of Images</t>
  </si>
  <si>
    <t>Page 1 and 6
Greayscale &amp; Color Image ( 280 – 350 dpi )
placed at 100% in InDesign
Page 2
Greayscale &amp; Color Image ( 285 – 340 dpi )
placed at 100% in InDesign
Page 4 and 5
Greayscale &amp; Color Image ( 295 – 315 dpi )
placed at 100% in InDesign</t>
  </si>
  <si>
    <t>B23</t>
  </si>
  <si>
    <t>Social Media - Technical Requirements</t>
  </si>
  <si>
    <t>TASK 3_Social Media_U -Tube Dimension,  Resolution and File Size Specifications applied</t>
  </si>
  <si>
    <t>TASK 3_Social Media_Instagram photoshop layer naming</t>
  </si>
  <si>
    <t>TASK 3_Social Media_Instagram Dimension,  Resolution and File Size Specifications applied</t>
  </si>
  <si>
    <t>TASK 3_Social Media_ICC Profile</t>
  </si>
  <si>
    <t>sRGB IEC\61966-2.1</t>
  </si>
  <si>
    <t>Criterion C</t>
  </si>
  <si>
    <t>C1</t>
  </si>
  <si>
    <t>Task 1: Sketching effectiveness ("Transform ideas into appropriate and creative designs")</t>
  </si>
  <si>
    <t>No sketching present</t>
  </si>
  <si>
    <t>Acceptable. Some sketches are present.</t>
  </si>
  <si>
    <t>Good sketches and multiple ideas and directions are evident and ideas of good quality</t>
  </si>
  <si>
    <t>Excellent and innovative sketching that shows clear attention to detail (sketches of high quality and detail)</t>
  </si>
  <si>
    <t>TASK 1 Logo — Logo creative execution, idea and originality</t>
  </si>
  <si>
    <t>not suitable according to brief</t>
  </si>
  <si>
    <t>Logo / Brand is suitable for the brief (minimal creativity)</t>
  </si>
  <si>
    <t>TASK 1 Logo — Quality of composition of Logo combinations mark (Logotype &amp; Logomark)</t>
  </si>
  <si>
    <t>Composition is acceptable, but may encounter issues when</t>
  </si>
  <si>
    <t>Composition is well balanced, will be effective at all sizes/as
scaled</t>
  </si>
  <si>
    <t>C2</t>
  </si>
  <si>
    <t>Task 1: Typographic quality of logo</t>
  </si>
  <si>
    <t>Typography of logo is poor, Type choice, sizing, leading, spacing, kerning, matching are not well considered, or are not effective</t>
  </si>
  <si>
    <t>Typography of logo is acceptable. Some of the following have been considered: Type choice, sizing, leading, spacing, kerning, matching</t>
  </si>
  <si>
    <t>Typography of logo is of high quality. Type choice, sizing, leading, spacing, kerning, matching are considered</t>
  </si>
  <si>
    <t>Typography of logo is exceptional. Type choice, sizing, leading, spacing, kerning, matching is all very well considered</t>
  </si>
  <si>
    <t>TAsk 1: Quality of the colours (choice, balance, harmony)</t>
  </si>
  <si>
    <t>Task 1: Quality of mounting (logos)</t>
  </si>
  <si>
    <t>C3</t>
  </si>
  <si>
    <t>Task 1: All required text is present in the task</t>
  </si>
  <si>
    <t>• The logo must include the text: SmallChangesBigImpact
You can use upper, lower, or upper &amp;amp; lower case for your stylization. You can also adjust the
word spacing of the text if you want.</t>
  </si>
  <si>
    <t>Task 1: Colour applied</t>
  </si>
  <si>
    <t>Your logo must only use TWO (2) ( Pantone+ CMYK Coated ) and ONE (1) SPOT Colour, must
be (C:60, M:0, Y:20, K:0) with no tints or gradients (only 100% of colour is allowed)
• Convert to a CMYK and RGB version during submission using different file types
• CMYK and RGB versions should replicate the colors as closely as possible to each other.
Should NOT have decimals (e.g. 2.73, change to 3).
• Include color swatches in each version including the color specifications of each color in PDF
only.</t>
  </si>
  <si>
    <t>C4</t>
  </si>
  <si>
    <t>Creative Process and Final Design</t>
  </si>
  <si>
    <t>Task 1: Show ideas and development through sketches</t>
  </si>
  <si>
    <t>Include Three (3) sketches in ‘Final Files’ (can be digital drawing sketches, photograph manual
drawing sketches using iMac camera - Photobooth application)</t>
  </si>
  <si>
    <t xml:space="preserve">Task 1: Logo dimensions </t>
  </si>
  <si>
    <t>One large size is not larger than 15cm at the longest edge and the second
size is not larger than 5cm at the longest edge (width or height) on 1 A4 Size Paper
Check on Printout</t>
  </si>
  <si>
    <t>Task 1: Timely submission of the logo</t>
  </si>
  <si>
    <t>Submit before lunch (2.5 hrs)</t>
  </si>
  <si>
    <t>C5</t>
  </si>
  <si>
    <t>Task 1: Logo Requirements</t>
  </si>
  <si>
    <t>•Create Logo in A4 Size Artboard 
•Vector only
• The logo must be a combination mark (Logotype and Logomark combined into one logo).
• The logo should NOT include any gradients.</t>
  </si>
  <si>
    <t>Task 1: Logo Digital File</t>
  </si>
  <si>
    <t>PMS File
• 1 x Ai File Without outlined text
• 1 x PDF/X-4:2008, all text must be converted to outlines and on separate plates
CMYK File
• 1 x PDF/X-4:2008, all text must be converted to outlines
RGB File
• 1 x PDF, all text must be converted to outlines
Font Folder
● includes fonts used for the logo</t>
  </si>
  <si>
    <t>Task 1: Trapping</t>
  </si>
  <si>
    <t>Trapping 0.40 pt. (if required)</t>
  </si>
  <si>
    <t>C6</t>
  </si>
  <si>
    <t>Task 1: Printout present</t>
  </si>
  <si>
    <t>1 x Print of combination mark Logo PMS design in A4 – format showing two sizes of the
combination mark.
• 1 x Print of 3 combination mark logo variations on an A3 paper sheet mounted on an A3 black
board.
• 1 x A4 paper sheet 3 combination mark logo sketches (No need to print if you are using manual
sketch and If you are using digital sketches, you must print them on an A4 sheet of paper.)</t>
  </si>
  <si>
    <t>Task 1: File and Folder Naming</t>
  </si>
  <si>
    <t>• Logo file name: YY_Logo_PMS.ai
• Logo file name: YY_Logo_PMS.pdf
• Logo file name: YY_Logo_CMYK.pdf
• Logo file name: YY_Logo_RGB.pdf
• Font folder name: YY_Font_Folder
YY represents your Competitor number</t>
  </si>
  <si>
    <t>C7</t>
  </si>
  <si>
    <t>Task 2 — Meets clients needs — Visualize and interpret customer wishes</t>
  </si>
  <si>
    <t>acceptable — Meets the needs of the client</t>
  </si>
  <si>
    <t>good — Client would be very satisfied</t>
  </si>
  <si>
    <t>excellent — Excellent understanding of how to appeal to the
client. Strong and aesthetically pleasing outcome</t>
  </si>
  <si>
    <t>TAsk 2: Overall aesthetics and alignment to target market</t>
  </si>
  <si>
    <t>aesthetics are poor and not appropriate to target market</t>
  </si>
  <si>
    <t>aesthetics are sufficient and some aspects align to target market</t>
  </si>
  <si>
    <t>aesthetically pleasing and appropriate for target market</t>
  </si>
  <si>
    <t>very aesthetically pleasing and highly appropriate for target market</t>
  </si>
  <si>
    <t>Task 2: Web layout and ease of use</t>
  </si>
  <si>
    <t>Poor composition, client would not be satisfied or applicants would find it hard to fill in their details</t>
  </si>
  <si>
    <t>Minimal elements used appropriately for web pages</t>
  </si>
  <si>
    <t>Effective layout, good user experience aesthetics when
browsing the throughout the pages</t>
  </si>
  <si>
    <t>Strong consideration of layout, aesthetics and elements,
outstanding user experience elements to ease completition of all pages</t>
  </si>
  <si>
    <t>TASK 2 Web Pages— Typeface choice and usage quality</t>
  </si>
  <si>
    <t>The lockup of the related elements/symbol and typeface choice are just suitable. However, may encounter issues when scaled</t>
  </si>
  <si>
    <t>The lockup of the related elements/symbol and typeface choice are well considered and balanced</t>
  </si>
  <si>
    <t>The lockup of the related elements/symbol and typeface choice are exceptionally well balanced and would be effective at all sizes</t>
  </si>
  <si>
    <t>C8</t>
  </si>
  <si>
    <t>Task 2 - Choice, pairing, size and legibility of typefaces are appropriate (Website 3 Pages)</t>
  </si>
  <si>
    <t>Choice, pairing, size and legibility of typefaces are not appropriate</t>
  </si>
  <si>
    <t>Choice, pairing, size and legibility of typefaces are somewhat appropriatet (some aspects are appropriate)</t>
  </si>
  <si>
    <t>Choice, pairing, size and legibility of typefaces are appropriate</t>
  </si>
  <si>
    <t>Choice, pairing, size and legibility of typefaces are highly appropriate</t>
  </si>
  <si>
    <t>Task 2: Unity and relationships between all pages.</t>
  </si>
  <si>
    <t>Elements are not unified and are lacking cohesion between one another</t>
  </si>
  <si>
    <t>Most elements are unified, with cohesion between one another</t>
  </si>
  <si>
    <t>Elements are unified, with cohesion between one another</t>
  </si>
  <si>
    <t>Elements are unified, with clear cohesion between one another and enhance the overall strength of the brand</t>
  </si>
  <si>
    <t>Task 2: Quality of the colours (choice, balance, harmony) (logo)</t>
  </si>
  <si>
    <t>Effective colour harmony and balance (images considered)</t>
  </si>
  <si>
    <t>Very effective colour harmony and balance (including images)</t>
  </si>
  <si>
    <t>Task 2: Typographic Hierarchy and spacing is practical and appropriate (Covers)</t>
  </si>
  <si>
    <t>minimal or no hierarchy, too little/too much spacing between typographic elements</t>
  </si>
  <si>
    <t>some hierarchy, spacing acceptable between typographic elements</t>
  </si>
  <si>
    <t>clear hierarchy, spacing appropriate between typographic elements</t>
  </si>
  <si>
    <t>well considered &amp; apparent hierarchy, spacing highly suitable for type size/type elements</t>
  </si>
  <si>
    <t>C9</t>
  </si>
  <si>
    <t>Task 2: Document dimension</t>
  </si>
  <si>
    <t>Size : 1920px width by 1080px height</t>
  </si>
  <si>
    <t>Task 2: Images resolution</t>
  </si>
  <si>
    <t>72 ppi at 100% in InDesign.</t>
  </si>
  <si>
    <t>Task 2: Printout present</t>
  </si>
  <si>
    <t>1 x Print of your 3 website pages on A3 paper sheet</t>
  </si>
  <si>
    <t>Task 2: All required text is present and all elements required</t>
  </si>
  <si>
    <t>• Text as specified in the Appendix_2_Website
• Include at least 3 graphic elements that are related to the campaign logo from task 1.</t>
  </si>
  <si>
    <t>C10</t>
  </si>
  <si>
    <t>Task 2: Digital file submission</t>
  </si>
  <si>
    <t>• 1 x InDesign format file .indd working project native file, packaged and including linked files and fonts.
• 1 × PDF interactive file with interactive elements working.</t>
  </si>
  <si>
    <t>Task 2: File  Naming</t>
  </si>
  <si>
    <t>• Website file name: YY_Website.indd
• PDF interactive file name: YY_PDF_Website.pdf
YY represents your Competitor number</t>
  </si>
  <si>
    <t>Task 3: Animation naming and structure as specified</t>
  </si>
  <si>
    <t>Social Media motion file name: YY_Social_Media_Post.psd or YY_Social_Media_Post.aep
• Social Media Post video name: YY_Social_Media_Post.mov or YY_Social_Media_Post.mp4
• Social Media Post thumbnail name: YY_Thumbnail.png</t>
  </si>
  <si>
    <t>Task 3: Digital file submission</t>
  </si>
  <si>
    <t>1 x RGB video format: MP4 or MOV file type.
• 1 x Photoshop psd layered file or After Effects .aep working project native file, packaged and
including linked files and fonts.
• 1 x .PNG file format file of your video thumbnail</t>
  </si>
  <si>
    <t>All Task: File structure as required</t>
  </si>
  <si>
    <t>• as specified</t>
  </si>
  <si>
    <t>C11</t>
  </si>
  <si>
    <t>Task 2: Interactive elements</t>
  </si>
  <si>
    <t>Header: 
&lt;Home navigation menu that goes to the home page when clicked&gt;
&lt;About Us navigation menu that goes to the about us page when clicked&gt;
• Video will play when clicked
&lt;Campaign dropdown (Registration) navigation menu that goes to the registration page when
clicked&gt;
&lt;Text Field for Search Bar&gt;
&lt;Dropdown Menu Field “language ” for option&gt;
• EN default option
• BM (Bahasa Melayu)
• KM (Khmer)
• ID (Indonesian)
• LO (Lao)
• MS (Bahasa Malaysia)
• MY (Myanmar)
• PH (Tagalog)
• SG (English)
• TH (Thai)
• VN (Vietnamese)
* check on interactive PDF</t>
  </si>
  <si>
    <t>Task 2: Active links</t>
  </si>
  <si>
    <t>Home Page:
Call to action button
check on interactive PDF</t>
  </si>
  <si>
    <t>Task 2: Footer Section</t>
  </si>
  <si>
    <t>• THREE (3) Social Media icons Appendix_7_Social Media Icon
   For EACH Social Media icon is clickable and goes to URL stated in the appendix&amp;gt;</t>
  </si>
  <si>
    <t>Task 2: ePub Interactivity</t>
  </si>
  <si>
    <t>* Should be check on ePubs preview in InDesign
• Home Page:
3 Carousel images 
&lt;Forward button icon that goes to the next image when clicked&gt;
&lt;Back button icon that goes to the previous image when clicked&gt;</t>
  </si>
  <si>
    <t>C12</t>
  </si>
  <si>
    <t>Task 2: Buttons and Forms required</t>
  </si>
  <si>
    <t>C13</t>
  </si>
  <si>
    <t>Task 3: Overall aesthetics and alignment to target market</t>
  </si>
  <si>
    <t>Task 3: Effective use of visual composition including typography</t>
  </si>
  <si>
    <t>Excellent animation with beautiful and very appropriate images. The message becomes clear and concise</t>
  </si>
  <si>
    <t>TASK 3: Animation Impact &amp; Communication effectiveness</t>
  </si>
  <si>
    <t>TASK 3 Animation — Ideas and originality (Competitor uses "Design principles, for creating pleasing and meaningful aesthetics")</t>
  </si>
  <si>
    <t>are exceptional, creative and innovative (including use of
additional elements)</t>
  </si>
  <si>
    <t>C14</t>
  </si>
  <si>
    <t>Visual identity is consistent in all design</t>
  </si>
  <si>
    <t>Inconsistent visual identity in all design</t>
  </si>
  <si>
    <t>Minimum visual identity maintained in design, with only a fewconnecting elements</t>
  </si>
  <si>
    <t>Good visual identity of elements</t>
  </si>
  <si>
    <t>Consistent visual identity which all elements are organized and connected with themselves</t>
  </si>
  <si>
    <t>ALL TASKS — Readability of typeface sizes ("Keep up to date with latest industry guidelines")</t>
  </si>
  <si>
    <t>acceptable — Design features some elements, suitable for
target audience</t>
  </si>
  <si>
    <t>excellent — Excellent engagement and understanding of how to appeal to the target audience</t>
  </si>
  <si>
    <t>Highly accessible and easy to read. Strong contrasting colour
choices. Appropriate sized text sizes.</t>
  </si>
  <si>
    <t>C15</t>
  </si>
  <si>
    <t>Hardware and Software</t>
  </si>
  <si>
    <t>Task 3: All required text is present</t>
  </si>
  <si>
    <t>as specified in Appendix_4_Instagram-Text</t>
  </si>
  <si>
    <t>Task 3: Screen Requirements</t>
  </si>
  <si>
    <t>4 Screen only
Screen 1 text:
Insert campaign Logo SmallChangesBigImpact
Content: Your actions matter!
Screen 2 text:
Content: Join the movement for a greener future!
Make a difference through small changes!
Screen 3 text:
Content: Discover practical tips and resources to adopt sustainable practices.
Share your small changes using #SmallChangesBigImpact.
Together, we can create a BIG impact on the environment!
Screen 4 text:
Call to Action: Join us now!
Note: All texts must appear on each of the screen.</t>
  </si>
  <si>
    <t>Task 3: All required elements is present</t>
  </si>
  <si>
    <t>These elements must be included in your design:
• Include the combination mark logo SmallChangesBigImpact from Task 1.
• Include the graphic element to show the campaign value.
• Use appropriate illustrations and/or Stock Photos to create motion graphics to support and help
communicate to the audience in Appendix_5_Instagram-Post</t>
  </si>
  <si>
    <t>C16</t>
  </si>
  <si>
    <t>Task 2: Colour mode in the applied software only</t>
  </si>
  <si>
    <t>● Color and ICC Profile :  sRGB IEC61966-2.1
● Color blend : RGB (working spaces) check in inDesign</t>
  </si>
  <si>
    <t>Task 3: Format of the media post</t>
  </si>
  <si>
    <t>Task 3: Resolution of media post and frames per second</t>
  </si>
  <si>
    <t xml:space="preserve">Resolution: HD or 1080p
Frame rate: 30 fps
Video codec : H.264 </t>
  </si>
  <si>
    <t>Task 3: Duration of the Video</t>
  </si>
  <si>
    <t>Duration : between 00:20 to 00:30 seconds in length</t>
  </si>
  <si>
    <t>Task 3: Final file format as specified</t>
  </si>
  <si>
    <t>Format: .mp4 or .mov</t>
  </si>
  <si>
    <t>Task 3: Thumbnail of your video</t>
  </si>
  <si>
    <t>Format: .png in 420px X 654px</t>
  </si>
  <si>
    <t>Criterion D</t>
  </si>
  <si>
    <t>Criterion E</t>
  </si>
  <si>
    <t>Criterion F</t>
  </si>
  <si>
    <t>Criterion G</t>
  </si>
  <si>
    <t>Criterion H</t>
  </si>
  <si>
    <t>Criterion I</t>
  </si>
  <si>
    <t>Competition</t>
  </si>
  <si>
    <t>T1: 1 hours after Competition start
Provide Digital: 
( A ) 1 final file of the logo in 2 spot ( Pantone+ CMYK ) coated colours in AI format.
( B ) 1 final file of the logo converted to CMYK in AI format.
( C ) 1 final composite PDF/X-4:2010 file of the
        logo CMYK &amp; 2 spot. 
Provide Print: 
( D ) 1 Printout of the logo of CMYK &amp; 2 spot in A4 size paper.</t>
  </si>
  <si>
    <t>T1:  
( A ) YY_LOGO_2PMS.ai
( B ) YY_LOGO CMYK.ai
( C ) YY_LOGO 2PMS&amp;CMYK.pdf</t>
  </si>
  <si>
    <t>T3: ( A ) Dieline in spot named "dieline"
      ( B ) Dieline &amp; Fold line are on separate layers with overprint
      ( C ) Clear window to show the product</t>
  </si>
  <si>
    <t>Final Design - Innovation, Creativity &amp; Design</t>
  </si>
  <si>
    <t>Final Design - Animation Innovation, Creativity &amp; Design</t>
  </si>
  <si>
    <t>Logo - Saving and File Format</t>
  </si>
  <si>
    <t>Final Design - Image Manipualation</t>
  </si>
  <si>
    <t>Final Design - Innovation and Creativity</t>
  </si>
  <si>
    <t>Final Design - Communication &amp; Interpersonal Skills</t>
  </si>
  <si>
    <t>Brochure - Technical Requirements</t>
  </si>
  <si>
    <t>Brochure Inner print on A3 including
Cropmarks and colour bar
( folding lines must be indicated outside of A4 artwork area )
Brochure Outer on print on A3 including
Die cut line, perforated line, cropmarks, varnish and color bar
( folding lines must be indicated outside of A4 artwork area )</t>
  </si>
  <si>
    <t>Dimension and Resolution:
You Tube Banner Desktop size: 2048 x 338 px
You Tube Banner Mobile size: 1235 x 338 px
File size limit: maximum 6 MB
RGB — 126 ppi</t>
  </si>
  <si>
    <t>Photoshop file must be layered with the respective images and labled to the actual image name</t>
  </si>
  <si>
    <t>Dimension and Resolution
Instagram size: 1080 x 1080 px
File size limit: maximum 3 MB
RGB — 138 ppi</t>
  </si>
  <si>
    <t>Size : 9:16 aspect ratio 
Dimension : 1080px width by 1920px height</t>
  </si>
  <si>
    <t xml:space="preserve">Registration Form
&lt;Text Field Image (Upload Image)&gt;
&lt;Text Field Full Name (First Name, Last Name), (required)&gt;
&lt;Text Field Email  (required)&gt;
&lt;Text Field Date of Birth for fillable (mm/dd/yyyy)&gt;
&lt;Radio Button Gender “Male, Female, Prefer not to say” for option&gt;
&lt;Text Field Phone Number ((000) 000-0000. Number format. Limit to 10 digits only)&gt;
&lt;Combo Box Menu Field Industry Scale dropdown list (required) &gt;
Homeowners
Small business owners
Corporations
&lt;Text Field Address “Permanent Address, City, State/Province, Zip Code (zip code format only)”&gt;
&lt;Combo Box Menu Field “Country” dropdown list (required) &gt;
Brunei
Cambodia 
Indonesia
Lao PDR
Malaysia
Myanmar 
Philippines
Singapore
Thailand
Vietnam
&lt;Text Field “Comment Area” Multiline, scrollable&gt;
&lt;Submit button to Submit the form when clicked, url(mailto:worldskills@noreply.com).&gt;
&lt;Check button for terms and conditions “I agree to the Terms &amp; Conditions.”&gt;
&lt;Reset button to Reset the form when clicked&gt;
</t>
  </si>
  <si>
    <r>
      <t xml:space="preserve">Quality of the visual composition (aesthetic appeal and balance) </t>
    </r>
    <r>
      <rPr>
        <sz val="10"/>
        <color rgb="FFFF00FF"/>
        <rFont val="Arial"/>
      </rPr>
      <t>(all tasks)</t>
    </r>
  </si>
  <si>
    <r>
      <t xml:space="preserve">Quality of mockups </t>
    </r>
    <r>
      <rPr>
        <sz val="10"/>
        <color rgb="FFFF00FF"/>
        <rFont val="Arial"/>
        <family val="2"/>
      </rPr>
      <t>(gift packaging)</t>
    </r>
  </si>
  <si>
    <t>Mockups are acceptable (could be presented to a client) are generally cut well, clean, facing correctly, centred, possibly duplexed, packaging does not open or close well</t>
  </si>
  <si>
    <t>Bleed value applied in layout file in PDF as specified in the Sauce label Sticker Design. (T2)</t>
  </si>
  <si>
    <t>T2: 1 Print out of each sauce design ( front and back ), trimmed to size at 100% and mounted on mounting board provided</t>
  </si>
  <si>
    <t xml:space="preserve">Poor image selection, wrong timing, hardly readable due to an unsuitable font </t>
  </si>
  <si>
    <t>Excellent animation with beautiful and very appropriate images.  The message becomes clear and concise</t>
  </si>
  <si>
    <t>Acceptable — Design features some elements, suitable for target audience</t>
  </si>
  <si>
    <t>Good — Target audience would be engaged</t>
  </si>
  <si>
    <t>Good match, most Colours, elements, typography have been considered and applied</t>
  </si>
  <si>
    <t>Excellent, consistent application of all elements, typography and colours including new shapes and elements that enhance the design and create a solid foundation for a new corporate identity</t>
  </si>
  <si>
    <t>Print Deliverables
1 x color printout of Instagram Post on A3 at 160 mm wide centered on page with trim marks.
1 x color printout on A3 of the mocked-up YouTube Banner, based on the fixed dimension given. (Reduce to fit on A3)</t>
  </si>
  <si>
    <t>Print Deliverables
1 x color printout of YouTube Banner on A3, banner reduced to 40%, centered on page with trim marks.</t>
  </si>
  <si>
    <t>Task 2_Brochure — Mock up at 100% with spcified dielines ("The nature and purposes of client specifications and projects")</t>
  </si>
  <si>
    <r>
      <t xml:space="preserve">Image </t>
    </r>
    <r>
      <rPr>
        <b/>
        <sz val="10"/>
        <color rgb="FFFF0000"/>
        <rFont val="Arial"/>
      </rPr>
      <t>“name to be confirmed”</t>
    </r>
    <r>
      <rPr>
        <sz val="10"/>
        <color theme="1"/>
        <rFont val="Arial"/>
      </rPr>
      <t xml:space="preserve"> from Appendix 1.2 Images_Task 2 Folder ( Caption of the image name must be applied to the image in the brochure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</si>
</sst>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0"/>
      <color theme="1"/>
      <name val="Arial"/>
      <scheme val="minor"/>
    </font>
    <font>
      <sz val="18"/>
      <color rgb="FFFFFFFF"/>
      <name val="Arial"/>
    </font>
    <font>
      <sz val="10"/>
      <name val="Arial"/>
    </font>
    <font>
      <sz val="10"/>
      <color theme="1"/>
      <name val="Arial"/>
      <scheme val="minor"/>
    </font>
    <font>
      <sz val="10"/>
      <color theme="1"/>
      <name val="Arial"/>
    </font>
    <font>
      <sz val="16"/>
      <color rgb="FFFFFFFF"/>
      <name val="Arial"/>
    </font>
    <font>
      <sz val="10"/>
      <color rgb="FFFFFFFF"/>
      <name val="Arial"/>
    </font>
    <font>
      <sz val="16"/>
      <color theme="1"/>
      <name val="Arial"/>
    </font>
    <font>
      <sz val="16"/>
      <color rgb="FF000000"/>
      <name val="Arial"/>
    </font>
    <font>
      <sz val="10"/>
      <color rgb="FFFF00FF"/>
      <name val="Arial"/>
    </font>
    <font>
      <sz val="10"/>
      <color theme="0"/>
      <name val="Arial"/>
    </font>
    <font>
      <sz val="10"/>
      <color theme="1"/>
      <name val="Arial"/>
    </font>
    <font>
      <sz val="10"/>
      <color rgb="FF000000"/>
      <name val="Arial"/>
    </font>
    <font>
      <b/>
      <sz val="10"/>
      <color theme="1"/>
      <name val="Arial"/>
    </font>
    <font>
      <b/>
      <u/>
      <sz val="10"/>
      <color rgb="FF0000FF"/>
      <name val="Arial"/>
    </font>
    <font>
      <b/>
      <sz val="10"/>
      <color rgb="FFFF0000"/>
      <name val="Arial"/>
    </font>
    <font>
      <sz val="10"/>
      <color theme="1"/>
      <name val="Arial"/>
      <family val="2"/>
    </font>
    <font>
      <sz val="10"/>
      <color rgb="FFFF00FF"/>
      <name val="Arial"/>
      <family val="2"/>
    </font>
  </fonts>
  <fills count="5">
    <fill>
      <patternFill patternType="none"/>
    </fill>
    <fill>
      <patternFill patternType="gray125"/>
    </fill>
    <fill>
      <patternFill patternType="solid">
        <fgColor rgb="FF969696"/>
        <bgColor rgb="FF969696"/>
      </patternFill>
    </fill>
    <fill>
      <patternFill patternType="solid">
        <fgColor rgb="FFFFFFFF"/>
        <bgColor rgb="FFFFFFFF"/>
      </patternFill>
    </fill>
    <fill>
      <patternFill patternType="solid">
        <fgColor theme="0"/>
        <bgColor theme="0"/>
      </patternFill>
    </fill>
  </fills>
  <borders count="25">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bottom style="thick">
        <color rgb="FF000000"/>
      </bottom>
      <diagonal/>
    </border>
    <border>
      <left/>
      <right style="medium">
        <color rgb="FF000000"/>
      </right>
      <top/>
      <bottom style="thick">
        <color rgb="FF000000"/>
      </bottom>
      <diagonal/>
    </border>
    <border>
      <left style="medium">
        <color rgb="FF000000"/>
      </left>
      <right/>
      <top/>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hair">
        <color rgb="FF000000"/>
      </top>
      <bottom style="hair">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s>
  <cellStyleXfs count="1">
    <xf numFmtId="0" fontId="0" fillId="0" borderId="0"/>
  </cellStyleXfs>
  <cellXfs count="127">
    <xf numFmtId="0" fontId="0" fillId="0" borderId="0" xfId="0"/>
    <xf numFmtId="0" fontId="3" fillId="0" borderId="0" xfId="0" applyFont="1" applyAlignment="1">
      <alignment horizontal="center"/>
    </xf>
    <xf numFmtId="0" fontId="4" fillId="0" borderId="0" xfId="0" applyFont="1" applyAlignment="1">
      <alignment horizontal="center" vertical="center"/>
    </xf>
    <xf numFmtId="0" fontId="6" fillId="2" borderId="4" xfId="0" applyFont="1" applyFill="1" applyBorder="1" applyAlignment="1">
      <alignment horizontal="center" vertical="center" wrapText="1"/>
    </xf>
    <xf numFmtId="0" fontId="4" fillId="0" borderId="5" xfId="0" applyFont="1" applyBorder="1" applyAlignment="1">
      <alignment horizontal="center" vertical="center"/>
    </xf>
    <xf numFmtId="2" fontId="4" fillId="0" borderId="6" xfId="0" applyNumberFormat="1" applyFont="1" applyBorder="1" applyAlignment="1">
      <alignment horizontal="center" vertical="center"/>
    </xf>
    <xf numFmtId="2" fontId="4" fillId="0" borderId="5" xfId="0" applyNumberFormat="1" applyFont="1" applyBorder="1" applyAlignment="1">
      <alignment horizontal="center" vertical="center"/>
    </xf>
    <xf numFmtId="0" fontId="4" fillId="0" borderId="7" xfId="0" applyFont="1" applyBorder="1" applyAlignment="1">
      <alignment horizontal="center" vertical="center"/>
    </xf>
    <xf numFmtId="2" fontId="4" fillId="0" borderId="7" xfId="0" applyNumberFormat="1" applyFont="1" applyBorder="1" applyAlignment="1">
      <alignment horizontal="center" vertical="center"/>
    </xf>
    <xf numFmtId="0" fontId="6" fillId="0" borderId="0" xfId="0" applyFont="1" applyAlignment="1">
      <alignment horizontal="center" vertical="center" wrapText="1"/>
    </xf>
    <xf numFmtId="2" fontId="4" fillId="0" borderId="0" xfId="0" applyNumberFormat="1" applyFont="1"/>
    <xf numFmtId="2" fontId="4" fillId="0" borderId="0" xfId="0" applyNumberFormat="1" applyFont="1" applyAlignment="1">
      <alignment horizontal="center"/>
    </xf>
    <xf numFmtId="0" fontId="6" fillId="2" borderId="10" xfId="0" applyFont="1" applyFill="1" applyBorder="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2" fontId="7" fillId="0" borderId="0" xfId="0" applyNumberFormat="1" applyFont="1" applyAlignment="1">
      <alignment horizontal="center" vertical="center"/>
    </xf>
    <xf numFmtId="49" fontId="4" fillId="3" borderId="11" xfId="0" applyNumberFormat="1" applyFont="1" applyFill="1" applyBorder="1" applyAlignment="1">
      <alignment horizontal="left" vertical="top" wrapText="1"/>
    </xf>
    <xf numFmtId="49" fontId="4" fillId="3" borderId="11" xfId="0" applyNumberFormat="1" applyFont="1" applyFill="1" applyBorder="1" applyAlignment="1">
      <alignment horizontal="center" vertical="top" wrapText="1"/>
    </xf>
    <xf numFmtId="0" fontId="4" fillId="3" borderId="11" xfId="0" applyFont="1" applyFill="1" applyBorder="1" applyAlignment="1">
      <alignment horizontal="center" vertical="top" wrapText="1"/>
    </xf>
    <xf numFmtId="0" fontId="4" fillId="3" borderId="11" xfId="0" applyFont="1" applyFill="1" applyBorder="1" applyAlignment="1">
      <alignment horizontal="left" vertical="top" wrapText="1"/>
    </xf>
    <xf numFmtId="49" fontId="4" fillId="0" borderId="5" xfId="0" applyNumberFormat="1" applyFont="1" applyBorder="1" applyAlignment="1">
      <alignment horizontal="left" vertical="top" wrapText="1"/>
    </xf>
    <xf numFmtId="0" fontId="4" fillId="0" borderId="5" xfId="0" applyFont="1" applyBorder="1" applyAlignment="1">
      <alignment horizontal="center" vertical="top"/>
    </xf>
    <xf numFmtId="0" fontId="4" fillId="0" borderId="5" xfId="0" applyFont="1" applyBorder="1" applyAlignment="1">
      <alignment horizontal="left" vertical="top" wrapText="1"/>
    </xf>
    <xf numFmtId="49" fontId="9" fillId="0" borderId="5" xfId="0" applyNumberFormat="1" applyFont="1" applyBorder="1" applyAlignment="1">
      <alignment horizontal="left" vertical="top"/>
    </xf>
    <xf numFmtId="0" fontId="4" fillId="0" borderId="7" xfId="0" applyFont="1" applyBorder="1" applyAlignment="1">
      <alignment horizontal="center" vertical="top"/>
    </xf>
    <xf numFmtId="0" fontId="4" fillId="0" borderId="6" xfId="0" applyFont="1" applyBorder="1" applyAlignment="1">
      <alignment horizontal="left" vertical="center"/>
    </xf>
    <xf numFmtId="0" fontId="3" fillId="0" borderId="0" xfId="0" applyFont="1" applyAlignment="1">
      <alignment vertical="center"/>
    </xf>
    <xf numFmtId="0" fontId="11" fillId="0" borderId="0" xfId="0" applyFont="1" applyAlignment="1">
      <alignment vertical="center" wrapText="1"/>
    </xf>
    <xf numFmtId="0" fontId="11" fillId="0" borderId="0" xfId="0" applyFont="1" applyAlignment="1">
      <alignment vertical="center"/>
    </xf>
    <xf numFmtId="0" fontId="4" fillId="0" borderId="9" xfId="0" applyFont="1" applyBorder="1" applyAlignment="1">
      <alignment horizontal="center" vertical="center"/>
    </xf>
    <xf numFmtId="0" fontId="4" fillId="0" borderId="9" xfId="0" applyFont="1" applyBorder="1" applyAlignment="1">
      <alignment horizontal="left" vertical="center"/>
    </xf>
    <xf numFmtId="0" fontId="4" fillId="3" borderId="12" xfId="0" applyFont="1" applyFill="1" applyBorder="1" applyAlignment="1">
      <alignment horizontal="left" vertical="top" wrapText="1"/>
    </xf>
    <xf numFmtId="0" fontId="4" fillId="0" borderId="11" xfId="0" applyFont="1" applyBorder="1" applyAlignment="1">
      <alignment horizontal="left" vertical="top" wrapText="1"/>
    </xf>
    <xf numFmtId="0" fontId="4" fillId="0" borderId="11" xfId="0" applyFont="1" applyBorder="1" applyAlignment="1">
      <alignment horizontal="center" vertical="top"/>
    </xf>
    <xf numFmtId="0" fontId="4" fillId="0" borderId="5" xfId="0" applyFont="1" applyBorder="1" applyAlignment="1">
      <alignment horizontal="center" vertical="top" wrapText="1"/>
    </xf>
    <xf numFmtId="0" fontId="4" fillId="0" borderId="6" xfId="0" applyFont="1" applyBorder="1" applyAlignment="1">
      <alignment horizontal="left" vertical="top" wrapText="1"/>
    </xf>
    <xf numFmtId="2" fontId="4" fillId="0" borderId="6" xfId="0" applyNumberFormat="1" applyFont="1" applyBorder="1" applyAlignment="1">
      <alignment horizontal="center" vertical="top" wrapText="1"/>
    </xf>
    <xf numFmtId="0" fontId="4" fillId="0" borderId="11" xfId="0" applyFont="1" applyBorder="1" applyAlignment="1">
      <alignment horizontal="center" vertical="top" wrapText="1"/>
    </xf>
    <xf numFmtId="49" fontId="4" fillId="3" borderId="12" xfId="0" applyNumberFormat="1" applyFont="1" applyFill="1" applyBorder="1" applyAlignment="1">
      <alignment horizontal="left" vertical="top" wrapText="1"/>
    </xf>
    <xf numFmtId="0" fontId="4" fillId="0" borderId="12" xfId="0" applyFont="1" applyBorder="1" applyAlignment="1">
      <alignment horizontal="left" vertical="top" wrapText="1"/>
    </xf>
    <xf numFmtId="2" fontId="4" fillId="0" borderId="12" xfId="0" applyNumberFormat="1" applyFont="1" applyBorder="1" applyAlignment="1">
      <alignment horizontal="center" vertical="top" wrapText="1"/>
    </xf>
    <xf numFmtId="49" fontId="4" fillId="0" borderId="5" xfId="0" applyNumberFormat="1" applyFont="1" applyBorder="1" applyAlignment="1">
      <alignment horizontal="center" vertical="top"/>
    </xf>
    <xf numFmtId="49" fontId="4" fillId="0" borderId="5" xfId="0" applyNumberFormat="1" applyFont="1" applyBorder="1" applyAlignment="1">
      <alignment horizontal="left" vertical="top"/>
    </xf>
    <xf numFmtId="0" fontId="4" fillId="0" borderId="5" xfId="0" applyFont="1" applyBorder="1" applyAlignment="1">
      <alignment horizontal="left" vertical="top"/>
    </xf>
    <xf numFmtId="0" fontId="4" fillId="0" borderId="11" xfId="0" applyFont="1" applyBorder="1" applyAlignment="1">
      <alignment horizontal="left" vertical="top"/>
    </xf>
    <xf numFmtId="49" fontId="4" fillId="0" borderId="11" xfId="0" applyNumberFormat="1" applyFont="1" applyBorder="1" applyAlignment="1">
      <alignment horizontal="left" vertical="top" wrapText="1"/>
    </xf>
    <xf numFmtId="0" fontId="4" fillId="4" borderId="11" xfId="0" applyFont="1" applyFill="1" applyBorder="1" applyAlignment="1">
      <alignment horizontal="center" vertical="top" wrapText="1"/>
    </xf>
    <xf numFmtId="0" fontId="4" fillId="4" borderId="12" xfId="0" applyFont="1" applyFill="1" applyBorder="1" applyAlignment="1">
      <alignment horizontal="left" vertical="top" wrapText="1"/>
    </xf>
    <xf numFmtId="49" fontId="4" fillId="0" borderId="7" xfId="0" applyNumberFormat="1" applyFont="1" applyBorder="1" applyAlignment="1">
      <alignment horizontal="left" vertical="top" wrapText="1"/>
    </xf>
    <xf numFmtId="0" fontId="4" fillId="0" borderId="6" xfId="0" applyFont="1" applyBorder="1" applyAlignment="1">
      <alignment vertical="top" wrapText="1"/>
    </xf>
    <xf numFmtId="0" fontId="4" fillId="0" borderId="6" xfId="0" applyFont="1" applyBorder="1" applyAlignment="1">
      <alignment horizontal="left" vertical="top"/>
    </xf>
    <xf numFmtId="2" fontId="4" fillId="0" borderId="6" xfId="0" applyNumberFormat="1" applyFont="1" applyBorder="1" applyAlignment="1">
      <alignment horizontal="center" vertical="top"/>
    </xf>
    <xf numFmtId="0" fontId="10" fillId="0" borderId="6" xfId="0" applyFont="1" applyBorder="1" applyAlignment="1">
      <alignment horizontal="left" vertical="top" wrapText="1"/>
    </xf>
    <xf numFmtId="0" fontId="4" fillId="0" borderId="0" xfId="0" applyFont="1" applyAlignment="1">
      <alignment vertical="top" wrapText="1"/>
    </xf>
    <xf numFmtId="0" fontId="4" fillId="0" borderId="0" xfId="0" applyFont="1" applyAlignment="1">
      <alignment horizontal="left" vertical="top" wrapText="1"/>
    </xf>
    <xf numFmtId="0" fontId="4" fillId="0" borderId="5" xfId="0" applyFont="1" applyBorder="1" applyAlignment="1">
      <alignment vertical="top" wrapText="1"/>
    </xf>
    <xf numFmtId="0" fontId="4" fillId="0" borderId="14" xfId="0" applyFont="1" applyBorder="1" applyAlignment="1">
      <alignment vertical="top" wrapText="1"/>
    </xf>
    <xf numFmtId="0" fontId="10" fillId="0" borderId="0" xfId="0" applyFont="1" applyAlignment="1">
      <alignment horizontal="left" vertical="top" wrapText="1"/>
    </xf>
    <xf numFmtId="0" fontId="4" fillId="0" borderId="15" xfId="0" applyFont="1" applyBorder="1" applyAlignment="1">
      <alignment horizontal="left" vertical="top" wrapText="1"/>
    </xf>
    <xf numFmtId="0" fontId="4" fillId="0" borderId="17" xfId="0" applyFont="1" applyBorder="1" applyAlignment="1">
      <alignment horizontal="left" vertical="top" wrapText="1"/>
    </xf>
    <xf numFmtId="0" fontId="4" fillId="0" borderId="16" xfId="0" applyFont="1" applyBorder="1" applyAlignment="1">
      <alignment horizontal="left" vertical="top" wrapText="1"/>
    </xf>
    <xf numFmtId="0" fontId="4" fillId="0" borderId="20" xfId="0" applyFont="1" applyBorder="1" applyAlignment="1">
      <alignment horizontal="left" vertical="top" wrapText="1"/>
    </xf>
    <xf numFmtId="0" fontId="4" fillId="0" borderId="22" xfId="0" applyFont="1" applyBorder="1" applyAlignment="1">
      <alignment vertical="top" wrapText="1"/>
    </xf>
    <xf numFmtId="0" fontId="4" fillId="0" borderId="12" xfId="0" applyFont="1" applyBorder="1" applyAlignment="1">
      <alignment vertical="top" wrapText="1"/>
    </xf>
    <xf numFmtId="2" fontId="4" fillId="0" borderId="12" xfId="0" applyNumberFormat="1" applyFont="1" applyBorder="1" applyAlignment="1">
      <alignment horizontal="center" vertical="top"/>
    </xf>
    <xf numFmtId="0" fontId="4" fillId="0" borderId="13" xfId="0" applyFont="1" applyBorder="1" applyAlignment="1">
      <alignment horizontal="center" vertical="top" wrapText="1"/>
    </xf>
    <xf numFmtId="0" fontId="4" fillId="0" borderId="14" xfId="0" applyFont="1" applyBorder="1" applyAlignment="1">
      <alignment horizontal="left" vertical="top" wrapText="1"/>
    </xf>
    <xf numFmtId="2" fontId="4" fillId="0" borderId="14" xfId="0" applyNumberFormat="1" applyFont="1" applyBorder="1" applyAlignment="1">
      <alignment horizontal="center" vertical="top" wrapText="1"/>
    </xf>
    <xf numFmtId="0" fontId="0" fillId="0" borderId="0" xfId="0" applyAlignment="1">
      <alignment vertical="top" wrapText="1"/>
    </xf>
    <xf numFmtId="0" fontId="4" fillId="0" borderId="15" xfId="0" applyFont="1" applyBorder="1" applyAlignment="1">
      <alignment horizontal="center" vertical="top" wrapText="1"/>
    </xf>
    <xf numFmtId="0" fontId="4" fillId="0" borderId="16" xfId="0" applyFont="1" applyBorder="1" applyAlignment="1">
      <alignment horizontal="center" vertical="top" wrapText="1"/>
    </xf>
    <xf numFmtId="0" fontId="3" fillId="0" borderId="0" xfId="0" applyFont="1" applyAlignment="1">
      <alignment horizontal="center" vertical="top" wrapText="1"/>
    </xf>
    <xf numFmtId="0" fontId="4" fillId="0" borderId="6" xfId="0" applyFont="1" applyBorder="1" applyAlignment="1">
      <alignment horizontal="center" vertical="top"/>
    </xf>
    <xf numFmtId="0" fontId="11" fillId="0" borderId="5" xfId="0" applyFont="1" applyBorder="1" applyAlignment="1">
      <alignment horizontal="center" vertical="top"/>
    </xf>
    <xf numFmtId="49" fontId="11" fillId="3" borderId="6" xfId="0" applyNumberFormat="1" applyFont="1" applyFill="1" applyBorder="1" applyAlignment="1">
      <alignment vertical="top"/>
    </xf>
    <xf numFmtId="0" fontId="11" fillId="0" borderId="6" xfId="0" applyFont="1" applyBorder="1" applyAlignment="1">
      <alignment horizontal="center" vertical="top"/>
    </xf>
    <xf numFmtId="0" fontId="11" fillId="0" borderId="0" xfId="0" applyFont="1" applyAlignment="1">
      <alignment horizontal="left" vertical="top" wrapText="1"/>
    </xf>
    <xf numFmtId="0" fontId="11" fillId="0" borderId="0" xfId="0" applyFont="1" applyAlignment="1">
      <alignment horizontal="center" vertical="top" wrapText="1"/>
    </xf>
    <xf numFmtId="0" fontId="11" fillId="0" borderId="0" xfId="0" applyFont="1" applyAlignment="1">
      <alignment vertical="top" wrapText="1"/>
    </xf>
    <xf numFmtId="0" fontId="11" fillId="0" borderId="23" xfId="0" applyFont="1" applyBorder="1" applyAlignment="1">
      <alignment horizontal="left" vertical="top" wrapText="1"/>
    </xf>
    <xf numFmtId="0" fontId="11" fillId="0" borderId="23" xfId="0" applyFont="1" applyBorder="1" applyAlignment="1">
      <alignment horizontal="center" vertical="top" wrapText="1"/>
    </xf>
    <xf numFmtId="0" fontId="11" fillId="0" borderId="23" xfId="0" applyFont="1" applyBorder="1" applyAlignment="1">
      <alignment vertical="top" wrapText="1"/>
    </xf>
    <xf numFmtId="49" fontId="11" fillId="3" borderId="6" xfId="0" applyNumberFormat="1" applyFont="1" applyFill="1" applyBorder="1" applyAlignment="1">
      <alignment horizontal="center" vertical="top" wrapText="1"/>
    </xf>
    <xf numFmtId="49" fontId="12" fillId="3" borderId="6" xfId="0" applyNumberFormat="1" applyFont="1" applyFill="1" applyBorder="1" applyAlignment="1">
      <alignment vertical="top" wrapText="1"/>
    </xf>
    <xf numFmtId="0" fontId="11" fillId="3" borderId="6" xfId="0" applyFont="1" applyFill="1" applyBorder="1" applyAlignment="1">
      <alignment horizontal="center" vertical="top" wrapText="1"/>
    </xf>
    <xf numFmtId="49" fontId="11" fillId="3" borderId="6" xfId="0" applyNumberFormat="1" applyFont="1" applyFill="1" applyBorder="1" applyAlignment="1">
      <alignment vertical="top" wrapText="1"/>
    </xf>
    <xf numFmtId="2" fontId="11" fillId="0" borderId="6" xfId="0" applyNumberFormat="1" applyFont="1" applyBorder="1" applyAlignment="1">
      <alignment horizontal="center" vertical="top" wrapText="1"/>
    </xf>
    <xf numFmtId="0" fontId="11" fillId="3" borderId="6" xfId="0" applyFont="1" applyFill="1" applyBorder="1" applyAlignment="1">
      <alignment vertical="top"/>
    </xf>
    <xf numFmtId="0" fontId="4" fillId="0" borderId="0" xfId="0" applyFont="1" applyAlignment="1">
      <alignment horizontal="center" vertical="top"/>
    </xf>
    <xf numFmtId="0" fontId="4" fillId="0" borderId="6" xfId="0" applyFont="1" applyBorder="1" applyAlignment="1">
      <alignment horizontal="center" vertical="top" wrapText="1"/>
    </xf>
    <xf numFmtId="0" fontId="11" fillId="0" borderId="24" xfId="0" applyFont="1" applyBorder="1" applyAlignment="1">
      <alignment horizontal="center" vertical="top" wrapText="1"/>
    </xf>
    <xf numFmtId="0" fontId="11" fillId="0" borderId="23" xfId="0" applyFont="1" applyBorder="1" applyAlignment="1">
      <alignment horizontal="center" vertical="top"/>
    </xf>
    <xf numFmtId="0" fontId="11" fillId="0" borderId="23" xfId="0" applyFont="1" applyBorder="1" applyAlignment="1">
      <alignment horizontal="left" vertical="top"/>
    </xf>
    <xf numFmtId="0" fontId="11" fillId="0" borderId="6" xfId="0" applyFont="1" applyBorder="1" applyAlignment="1">
      <alignment vertical="top"/>
    </xf>
    <xf numFmtId="2" fontId="11" fillId="0" borderId="6" xfId="0" applyNumberFormat="1" applyFont="1" applyBorder="1" applyAlignment="1">
      <alignment horizontal="center" vertical="top"/>
    </xf>
    <xf numFmtId="0" fontId="11" fillId="0" borderId="5" xfId="0" applyFont="1" applyBorder="1" applyAlignment="1">
      <alignment horizontal="center" vertical="top" wrapText="1"/>
    </xf>
    <xf numFmtId="0" fontId="11" fillId="0" borderId="6" xfId="0" applyFont="1" applyBorder="1" applyAlignment="1">
      <alignment vertical="top" wrapText="1"/>
    </xf>
    <xf numFmtId="0" fontId="11" fillId="0" borderId="6" xfId="0" applyFont="1" applyBorder="1" applyAlignment="1">
      <alignment horizontal="center" vertical="top" wrapText="1"/>
    </xf>
    <xf numFmtId="0" fontId="13" fillId="0" borderId="6" xfId="0" applyFont="1" applyBorder="1" applyAlignment="1">
      <alignment vertical="top" wrapText="1"/>
    </xf>
    <xf numFmtId="0" fontId="16" fillId="0" borderId="6" xfId="0" applyFont="1" applyBorder="1" applyAlignment="1">
      <alignment vertical="top" wrapText="1"/>
    </xf>
    <xf numFmtId="0" fontId="14" fillId="0" borderId="6" xfId="0" applyFont="1" applyBorder="1" applyAlignment="1">
      <alignment vertical="top" wrapText="1"/>
    </xf>
    <xf numFmtId="0" fontId="4" fillId="0" borderId="12" xfId="0" applyFont="1" applyBorder="1" applyAlignment="1">
      <alignment horizontal="center" vertical="top" wrapText="1"/>
    </xf>
    <xf numFmtId="0" fontId="4" fillId="0" borderId="19" xfId="0" applyFont="1" applyBorder="1" applyAlignment="1">
      <alignment vertical="top" wrapText="1"/>
    </xf>
    <xf numFmtId="0" fontId="4" fillId="0" borderId="18" xfId="0" applyFont="1" applyBorder="1" applyAlignment="1">
      <alignment vertical="top" wrapText="1"/>
    </xf>
    <xf numFmtId="0" fontId="4" fillId="0" borderId="21" xfId="0" applyFont="1" applyBorder="1" applyAlignment="1">
      <alignment vertical="top" wrapText="1"/>
    </xf>
    <xf numFmtId="0" fontId="16" fillId="0" borderId="6" xfId="0" applyFont="1" applyBorder="1" applyAlignment="1">
      <alignment horizontal="left" vertical="top" wrapText="1"/>
    </xf>
    <xf numFmtId="49" fontId="16" fillId="0" borderId="5" xfId="0" applyNumberFormat="1" applyFont="1" applyBorder="1" applyAlignment="1">
      <alignment horizontal="left" vertical="top"/>
    </xf>
    <xf numFmtId="49" fontId="16" fillId="3" borderId="11" xfId="0" applyNumberFormat="1" applyFont="1" applyFill="1" applyBorder="1" applyAlignment="1">
      <alignment horizontal="left" vertical="top" wrapText="1"/>
    </xf>
    <xf numFmtId="49" fontId="4" fillId="0" borderId="11" xfId="0" applyNumberFormat="1" applyFont="1" applyBorder="1" applyAlignment="1">
      <alignment horizontal="center" vertical="top"/>
    </xf>
    <xf numFmtId="49" fontId="16" fillId="0" borderId="11" xfId="0" applyNumberFormat="1" applyFont="1" applyBorder="1" applyAlignment="1">
      <alignment horizontal="left" vertical="top"/>
    </xf>
    <xf numFmtId="49" fontId="16" fillId="0" borderId="5" xfId="0" applyNumberFormat="1" applyFont="1" applyBorder="1" applyAlignment="1">
      <alignment horizontal="left" vertical="top" wrapText="1"/>
    </xf>
    <xf numFmtId="49" fontId="4" fillId="0" borderId="12" xfId="0" applyNumberFormat="1" applyFont="1" applyBorder="1" applyAlignment="1">
      <alignment horizontal="left" vertical="top"/>
    </xf>
    <xf numFmtId="0" fontId="16" fillId="0" borderId="18" xfId="0" applyFont="1" applyBorder="1" applyAlignment="1">
      <alignment vertical="top" wrapText="1"/>
    </xf>
    <xf numFmtId="0" fontId="16" fillId="0" borderId="19" xfId="0" applyFont="1" applyBorder="1" applyAlignment="1">
      <alignment vertical="top" wrapText="1"/>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0" borderId="0" xfId="0" applyFont="1" applyAlignment="1">
      <alignment horizontal="left" vertical="center"/>
    </xf>
    <xf numFmtId="0" fontId="0" fillId="0" borderId="0" xfId="0"/>
    <xf numFmtId="0" fontId="2" fillId="0" borderId="6" xfId="0" applyFont="1" applyBorder="1"/>
    <xf numFmtId="0" fontId="4" fillId="0" borderId="8" xfId="0" applyFont="1" applyBorder="1" applyAlignment="1">
      <alignment horizontal="left" vertical="center"/>
    </xf>
    <xf numFmtId="0" fontId="2" fillId="0" borderId="8" xfId="0" applyFont="1" applyBorder="1"/>
    <xf numFmtId="0" fontId="2" fillId="0" borderId="9" xfId="0" applyFont="1" applyBorder="1"/>
    <xf numFmtId="0" fontId="4" fillId="0" borderId="1" xfId="0" applyFont="1" applyBorder="1" applyAlignment="1">
      <alignment horizontal="center" vertical="center"/>
    </xf>
    <xf numFmtId="0" fontId="4" fillId="0" borderId="0" xfId="0" applyFont="1" applyAlignment="1">
      <alignment horizontal="left" vertical="center" wrapText="1"/>
    </xf>
  </cellXfs>
  <cellStyles count="1">
    <cellStyle name="Normal" xfId="0" builtinId="0"/>
  </cellStyles>
  <dxfs count="0"/>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1.bin"/><Relationship Id="rId1" Type="http://schemas.openxmlformats.org/officeDocument/2006/relationships/hyperlink" Target="https://worldskillsasean.org/2023/" TargetMode="Externa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39"/>
  <sheetViews>
    <sheetView tabSelected="1" topLeftCell="A542" zoomScale="90" zoomScaleNormal="90" workbookViewId="0">
      <selection activeCell="K543" sqref="K543"/>
    </sheetView>
  </sheetViews>
  <sheetFormatPr defaultColWidth="12.5703125" defaultRowHeight="15" customHeight="1" x14ac:dyDescent="0.2"/>
  <cols>
    <col min="1" max="1" width="7.7109375" customWidth="1"/>
    <col min="2" max="2" width="13.5703125" customWidth="1"/>
    <col min="3" max="3" width="7.85546875" customWidth="1"/>
    <col min="4" max="4" width="8.42578125" customWidth="1"/>
    <col min="5" max="5" width="37.85546875" customWidth="1"/>
    <col min="6" max="6" width="8" customWidth="1"/>
    <col min="7" max="7" width="46.7109375" customWidth="1"/>
    <col min="8" max="8" width="15.42578125" customWidth="1"/>
    <col min="9" max="9" width="11.28515625" customWidth="1"/>
    <col min="10" max="10" width="11" customWidth="1"/>
    <col min="11" max="11" width="10.7109375" customWidth="1"/>
    <col min="12" max="12" width="18.42578125" customWidth="1"/>
    <col min="13" max="13" width="8.85546875" customWidth="1"/>
    <col min="14" max="14" width="10.7109375" customWidth="1"/>
    <col min="15" max="26" width="8.85546875" customWidth="1"/>
  </cols>
  <sheetData>
    <row r="1" spans="1:11" ht="48.75" customHeight="1" x14ac:dyDescent="0.2">
      <c r="A1" s="114" t="s">
        <v>0</v>
      </c>
      <c r="B1" s="115"/>
      <c r="C1" s="115"/>
      <c r="D1" s="115"/>
      <c r="E1" s="115"/>
      <c r="F1" s="115"/>
      <c r="G1" s="115"/>
      <c r="H1" s="115"/>
      <c r="I1" s="115"/>
      <c r="J1" s="115"/>
      <c r="K1" s="116"/>
    </row>
    <row r="2" spans="1:11" ht="36" customHeight="1" x14ac:dyDescent="0.2">
      <c r="A2" s="1"/>
      <c r="C2" s="2"/>
      <c r="E2" s="2"/>
      <c r="J2" s="2"/>
    </row>
    <row r="3" spans="1:11" ht="34.5" customHeight="1" x14ac:dyDescent="0.2">
      <c r="A3" s="117" t="s">
        <v>1</v>
      </c>
      <c r="B3" s="115"/>
      <c r="C3" s="115"/>
      <c r="D3" s="115"/>
      <c r="E3" s="115"/>
      <c r="F3" s="115"/>
      <c r="G3" s="115"/>
      <c r="H3" s="115"/>
      <c r="I3" s="115"/>
      <c r="J3" s="115"/>
      <c r="K3" s="116"/>
    </row>
    <row r="4" spans="1:11" ht="34.5" customHeight="1" x14ac:dyDescent="0.2">
      <c r="A4" s="3" t="s">
        <v>2</v>
      </c>
      <c r="B4" s="118" t="s">
        <v>3</v>
      </c>
      <c r="C4" s="115"/>
      <c r="D4" s="115"/>
      <c r="E4" s="115"/>
      <c r="F4" s="115"/>
      <c r="G4" s="115"/>
      <c r="H4" s="116"/>
      <c r="I4" s="3" t="s">
        <v>3</v>
      </c>
      <c r="J4" s="3" t="s">
        <v>4</v>
      </c>
      <c r="K4" s="3" t="s">
        <v>5</v>
      </c>
    </row>
    <row r="5" spans="1:11" ht="24.75" customHeight="1" x14ac:dyDescent="0.2">
      <c r="A5" s="4">
        <v>1</v>
      </c>
      <c r="B5" s="119" t="s">
        <v>6</v>
      </c>
      <c r="C5" s="120"/>
      <c r="D5" s="120"/>
      <c r="E5" s="120"/>
      <c r="F5" s="120"/>
      <c r="G5" s="120"/>
      <c r="H5" s="121"/>
      <c r="I5" s="5">
        <v>10</v>
      </c>
      <c r="J5" s="6">
        <f>SUMIF(I27:I571, A5, K27:K571)</f>
        <v>10</v>
      </c>
      <c r="K5" s="6">
        <f t="shared" ref="K5:K9" si="0">ABS(I5-J5)</f>
        <v>0</v>
      </c>
    </row>
    <row r="6" spans="1:11" ht="24.75" customHeight="1" x14ac:dyDescent="0.2">
      <c r="A6" s="4">
        <v>2</v>
      </c>
      <c r="B6" s="119" t="s">
        <v>7</v>
      </c>
      <c r="C6" s="120"/>
      <c r="D6" s="120"/>
      <c r="E6" s="120"/>
      <c r="F6" s="120"/>
      <c r="G6" s="120"/>
      <c r="H6" s="121"/>
      <c r="I6" s="5">
        <v>10</v>
      </c>
      <c r="J6" s="6">
        <f>SUMIF(I27:I571, A6, K27:K571)</f>
        <v>10</v>
      </c>
      <c r="K6" s="6">
        <f t="shared" si="0"/>
        <v>0</v>
      </c>
    </row>
    <row r="7" spans="1:11" ht="24.75" customHeight="1" x14ac:dyDescent="0.2">
      <c r="A7" s="4">
        <v>3</v>
      </c>
      <c r="B7" s="119" t="s">
        <v>8</v>
      </c>
      <c r="C7" s="120"/>
      <c r="D7" s="120"/>
      <c r="E7" s="120"/>
      <c r="F7" s="120"/>
      <c r="G7" s="120"/>
      <c r="H7" s="121"/>
      <c r="I7" s="5">
        <v>10</v>
      </c>
      <c r="J7" s="6">
        <f>SUMIF(I27:I571, A7, K27:K571)</f>
        <v>10</v>
      </c>
      <c r="K7" s="6">
        <f t="shared" si="0"/>
        <v>0</v>
      </c>
    </row>
    <row r="8" spans="1:11" ht="24.75" customHeight="1" x14ac:dyDescent="0.2">
      <c r="A8" s="4">
        <v>4</v>
      </c>
      <c r="B8" s="119" t="s">
        <v>9</v>
      </c>
      <c r="C8" s="120"/>
      <c r="D8" s="120"/>
      <c r="E8" s="120"/>
      <c r="F8" s="120"/>
      <c r="G8" s="120"/>
      <c r="H8" s="121"/>
      <c r="I8" s="5">
        <v>35</v>
      </c>
      <c r="J8" s="6">
        <f>SUMIF(I27:I571, A8, K27:K571)</f>
        <v>35</v>
      </c>
      <c r="K8" s="6">
        <f t="shared" si="0"/>
        <v>0</v>
      </c>
    </row>
    <row r="9" spans="1:11" ht="24.75" customHeight="1" x14ac:dyDescent="0.2">
      <c r="A9" s="7">
        <v>5</v>
      </c>
      <c r="B9" s="122" t="s">
        <v>10</v>
      </c>
      <c r="C9" s="123"/>
      <c r="D9" s="123"/>
      <c r="E9" s="123"/>
      <c r="F9" s="123"/>
      <c r="G9" s="123"/>
      <c r="H9" s="124"/>
      <c r="I9" s="8">
        <v>35</v>
      </c>
      <c r="J9" s="8">
        <f>SUMIF(I27:I571, A9, K27:K571)</f>
        <v>35</v>
      </c>
      <c r="K9" s="8">
        <f t="shared" si="0"/>
        <v>0</v>
      </c>
    </row>
    <row r="10" spans="1:11" ht="24.75" customHeight="1" x14ac:dyDescent="0.2">
      <c r="A10" s="1"/>
      <c r="C10" s="2"/>
      <c r="E10" s="2"/>
      <c r="I10" s="125" t="s">
        <v>11</v>
      </c>
      <c r="J10" s="116"/>
      <c r="K10" s="8">
        <f>SUM(K5:K9)</f>
        <v>0</v>
      </c>
    </row>
    <row r="11" spans="1:11" ht="12.75" customHeight="1" x14ac:dyDescent="0.2">
      <c r="A11" s="1"/>
      <c r="C11" s="2"/>
      <c r="E11" s="2"/>
      <c r="I11" s="2"/>
      <c r="J11" s="2"/>
    </row>
    <row r="12" spans="1:11" ht="12.75" customHeight="1" x14ac:dyDescent="0.2">
      <c r="A12" s="1"/>
      <c r="C12" s="2"/>
      <c r="E12" s="2"/>
      <c r="I12" s="2"/>
      <c r="J12" s="2"/>
    </row>
    <row r="13" spans="1:11" ht="34.5" customHeight="1" x14ac:dyDescent="0.2">
      <c r="A13" s="117" t="s">
        <v>12</v>
      </c>
      <c r="B13" s="115"/>
      <c r="C13" s="115"/>
      <c r="D13" s="115"/>
      <c r="E13" s="115"/>
      <c r="F13" s="115"/>
      <c r="G13" s="115"/>
      <c r="H13" s="115"/>
      <c r="I13" s="115"/>
      <c r="J13" s="115"/>
      <c r="K13" s="116"/>
    </row>
    <row r="14" spans="1:11" ht="34.5" customHeight="1" x14ac:dyDescent="0.2">
      <c r="A14" s="3" t="s">
        <v>13</v>
      </c>
      <c r="B14" s="118" t="s">
        <v>14</v>
      </c>
      <c r="C14" s="115"/>
      <c r="D14" s="115"/>
      <c r="E14" s="115"/>
      <c r="F14" s="115"/>
      <c r="G14" s="115"/>
      <c r="H14" s="115"/>
      <c r="I14" s="115"/>
      <c r="J14" s="116"/>
      <c r="K14" s="3" t="s">
        <v>15</v>
      </c>
    </row>
    <row r="15" spans="1:11" ht="24.75" customHeight="1" x14ac:dyDescent="0.2">
      <c r="A15" s="4" t="s">
        <v>16</v>
      </c>
      <c r="B15" s="126" t="s">
        <v>17</v>
      </c>
      <c r="C15" s="120"/>
      <c r="D15" s="120"/>
      <c r="E15" s="120"/>
      <c r="F15" s="120"/>
      <c r="G15" s="120"/>
      <c r="H15" s="120"/>
      <c r="I15" s="120"/>
      <c r="J15" s="121"/>
      <c r="K15" s="5">
        <v>35</v>
      </c>
    </row>
    <row r="16" spans="1:11" ht="24.75" customHeight="1" x14ac:dyDescent="0.2">
      <c r="A16" s="4" t="s">
        <v>18</v>
      </c>
      <c r="B16" s="126" t="s">
        <v>19</v>
      </c>
      <c r="C16" s="120"/>
      <c r="D16" s="120"/>
      <c r="E16" s="120"/>
      <c r="F16" s="120"/>
      <c r="G16" s="120"/>
      <c r="H16" s="120"/>
      <c r="I16" s="120"/>
      <c r="J16" s="121"/>
      <c r="K16" s="5">
        <v>35</v>
      </c>
    </row>
    <row r="17" spans="1:14" ht="24.75" customHeight="1" x14ac:dyDescent="0.2">
      <c r="A17" s="4" t="s">
        <v>20</v>
      </c>
      <c r="B17" s="126" t="s">
        <v>21</v>
      </c>
      <c r="C17" s="120"/>
      <c r="D17" s="120"/>
      <c r="E17" s="120"/>
      <c r="F17" s="120"/>
      <c r="G17" s="120"/>
      <c r="H17" s="120"/>
      <c r="I17" s="120"/>
      <c r="J17" s="121"/>
      <c r="K17" s="5">
        <v>30</v>
      </c>
    </row>
    <row r="18" spans="1:14" ht="24.75" customHeight="1" x14ac:dyDescent="0.2">
      <c r="A18" s="4" t="s">
        <v>22</v>
      </c>
      <c r="B18" s="119"/>
      <c r="C18" s="120"/>
      <c r="D18" s="120"/>
      <c r="E18" s="120"/>
      <c r="F18" s="120"/>
      <c r="G18" s="120"/>
      <c r="H18" s="120"/>
      <c r="I18" s="120"/>
      <c r="J18" s="121"/>
      <c r="K18" s="5"/>
    </row>
    <row r="19" spans="1:14" ht="24.75" customHeight="1" x14ac:dyDescent="0.2">
      <c r="A19" s="4" t="s">
        <v>23</v>
      </c>
      <c r="B19" s="119"/>
      <c r="C19" s="120"/>
      <c r="D19" s="120"/>
      <c r="E19" s="120"/>
      <c r="F19" s="120"/>
      <c r="G19" s="120"/>
      <c r="H19" s="120"/>
      <c r="I19" s="120"/>
      <c r="J19" s="121"/>
      <c r="K19" s="5"/>
    </row>
    <row r="20" spans="1:14" ht="24.75" customHeight="1" x14ac:dyDescent="0.2">
      <c r="A20" s="4" t="s">
        <v>24</v>
      </c>
      <c r="B20" s="119"/>
      <c r="C20" s="120"/>
      <c r="D20" s="120"/>
      <c r="E20" s="120"/>
      <c r="F20" s="120"/>
      <c r="G20" s="120"/>
      <c r="H20" s="120"/>
      <c r="I20" s="120"/>
      <c r="J20" s="121"/>
      <c r="K20" s="5"/>
    </row>
    <row r="21" spans="1:14" ht="24.75" customHeight="1" x14ac:dyDescent="0.2">
      <c r="A21" s="4" t="s">
        <v>25</v>
      </c>
      <c r="B21" s="119"/>
      <c r="C21" s="120"/>
      <c r="D21" s="120"/>
      <c r="E21" s="120"/>
      <c r="F21" s="120"/>
      <c r="G21" s="120"/>
      <c r="H21" s="120"/>
      <c r="I21" s="120"/>
      <c r="J21" s="121"/>
      <c r="K21" s="5"/>
    </row>
    <row r="22" spans="1:14" ht="24.75" customHeight="1" x14ac:dyDescent="0.2">
      <c r="A22" s="4" t="s">
        <v>26</v>
      </c>
      <c r="B22" s="119"/>
      <c r="C22" s="120"/>
      <c r="D22" s="120"/>
      <c r="E22" s="120"/>
      <c r="F22" s="120"/>
      <c r="G22" s="120"/>
      <c r="H22" s="120"/>
      <c r="I22" s="120"/>
      <c r="J22" s="121"/>
      <c r="K22" s="5"/>
    </row>
    <row r="23" spans="1:14" ht="24.75" customHeight="1" x14ac:dyDescent="0.2">
      <c r="A23" s="7" t="s">
        <v>27</v>
      </c>
      <c r="B23" s="122"/>
      <c r="C23" s="123"/>
      <c r="D23" s="123"/>
      <c r="E23" s="123"/>
      <c r="F23" s="123"/>
      <c r="G23" s="123"/>
      <c r="H23" s="123"/>
      <c r="I23" s="123"/>
      <c r="J23" s="124"/>
      <c r="K23" s="8"/>
    </row>
    <row r="24" spans="1:14" ht="12.75" customHeight="1" x14ac:dyDescent="0.2">
      <c r="A24" s="1"/>
      <c r="C24" s="1"/>
      <c r="F24" s="9"/>
      <c r="G24" s="9"/>
      <c r="H24" s="9"/>
      <c r="I24" s="9"/>
      <c r="J24" s="10"/>
    </row>
    <row r="25" spans="1:14" ht="12.75" customHeight="1" x14ac:dyDescent="0.2">
      <c r="A25" s="1"/>
      <c r="C25" s="11"/>
      <c r="H25" s="10"/>
      <c r="I25" s="10"/>
      <c r="J25" s="10"/>
    </row>
    <row r="26" spans="1:14" ht="63.75" x14ac:dyDescent="0.2">
      <c r="A26" s="12" t="s">
        <v>28</v>
      </c>
      <c r="B26" s="12" t="s">
        <v>29</v>
      </c>
      <c r="C26" s="12" t="s">
        <v>30</v>
      </c>
      <c r="D26" s="12" t="s">
        <v>31</v>
      </c>
      <c r="E26" s="12" t="s">
        <v>32</v>
      </c>
      <c r="F26" s="12" t="s">
        <v>33</v>
      </c>
      <c r="G26" s="12" t="s">
        <v>34</v>
      </c>
      <c r="H26" s="12" t="s">
        <v>35</v>
      </c>
      <c r="I26" s="12" t="s">
        <v>36</v>
      </c>
      <c r="J26" s="12" t="s">
        <v>37</v>
      </c>
      <c r="K26" s="12" t="s">
        <v>38</v>
      </c>
      <c r="L26" s="13" t="s">
        <v>39</v>
      </c>
      <c r="M26" s="14" t="s">
        <v>40</v>
      </c>
      <c r="N26" s="15">
        <f>SUM(K27:K177)</f>
        <v>35</v>
      </c>
    </row>
    <row r="27" spans="1:14" ht="12.75" customHeight="1" x14ac:dyDescent="0.2">
      <c r="A27" s="34" t="s">
        <v>41</v>
      </c>
      <c r="B27" s="16" t="s">
        <v>42</v>
      </c>
      <c r="C27" s="34">
        <v>1</v>
      </c>
      <c r="D27" s="17"/>
      <c r="E27" s="16"/>
      <c r="F27" s="18"/>
      <c r="G27" s="16"/>
      <c r="H27" s="35"/>
      <c r="I27" s="34"/>
      <c r="J27" s="34"/>
      <c r="K27" s="36"/>
    </row>
    <row r="28" spans="1:14" ht="12.75" customHeight="1" x14ac:dyDescent="0.2">
      <c r="A28" s="34"/>
      <c r="B28" s="19"/>
      <c r="C28" s="34"/>
      <c r="D28" s="17" t="s">
        <v>43</v>
      </c>
      <c r="E28" s="16" t="s">
        <v>44</v>
      </c>
      <c r="F28" s="18"/>
      <c r="G28" s="16"/>
      <c r="H28" s="35"/>
      <c r="I28" s="34">
        <v>4</v>
      </c>
      <c r="J28" s="34"/>
      <c r="K28" s="36">
        <v>1</v>
      </c>
    </row>
    <row r="29" spans="1:14" ht="12.75" customHeight="1" x14ac:dyDescent="0.2">
      <c r="A29" s="37"/>
      <c r="B29" s="19"/>
      <c r="C29" s="37"/>
      <c r="D29" s="17"/>
      <c r="E29" s="16"/>
      <c r="F29" s="18">
        <v>0</v>
      </c>
      <c r="G29" s="16" t="s">
        <v>45</v>
      </c>
      <c r="H29" s="39"/>
      <c r="I29" s="37"/>
      <c r="J29" s="37"/>
      <c r="K29" s="40"/>
    </row>
    <row r="30" spans="1:14" ht="12.75" customHeight="1" x14ac:dyDescent="0.2">
      <c r="A30" s="34"/>
      <c r="B30" s="19"/>
      <c r="C30" s="34"/>
      <c r="D30" s="18"/>
      <c r="E30" s="19"/>
      <c r="F30" s="18">
        <v>1</v>
      </c>
      <c r="G30" s="16" t="s">
        <v>46</v>
      </c>
      <c r="H30" s="35"/>
      <c r="I30" s="34"/>
      <c r="J30" s="34"/>
      <c r="K30" s="36"/>
    </row>
    <row r="31" spans="1:14" ht="12.75" x14ac:dyDescent="0.2">
      <c r="A31" s="34"/>
      <c r="B31" s="19"/>
      <c r="C31" s="34"/>
      <c r="D31" s="18"/>
      <c r="E31" s="19"/>
      <c r="F31" s="18">
        <v>2</v>
      </c>
      <c r="G31" s="16" t="s">
        <v>47</v>
      </c>
      <c r="H31" s="35"/>
      <c r="I31" s="34"/>
      <c r="J31" s="34"/>
      <c r="K31" s="36"/>
    </row>
    <row r="32" spans="1:14" ht="25.5" x14ac:dyDescent="0.2">
      <c r="A32" s="34"/>
      <c r="B32" s="16"/>
      <c r="C32" s="34"/>
      <c r="D32" s="18"/>
      <c r="E32" s="19"/>
      <c r="F32" s="18">
        <v>3</v>
      </c>
      <c r="G32" s="16" t="s">
        <v>48</v>
      </c>
      <c r="H32" s="35"/>
      <c r="I32" s="34"/>
      <c r="J32" s="34"/>
      <c r="K32" s="36"/>
    </row>
    <row r="33" spans="1:11" ht="25.5" x14ac:dyDescent="0.2">
      <c r="A33" s="34"/>
      <c r="B33" s="19"/>
      <c r="C33" s="34"/>
      <c r="D33" s="17" t="s">
        <v>43</v>
      </c>
      <c r="E33" s="16" t="s">
        <v>49</v>
      </c>
      <c r="F33" s="18"/>
      <c r="G33" s="16"/>
      <c r="H33" s="35"/>
      <c r="I33" s="34">
        <v>4</v>
      </c>
      <c r="J33" s="34"/>
      <c r="K33" s="36">
        <v>0.5</v>
      </c>
    </row>
    <row r="34" spans="1:11" ht="12.75" customHeight="1" x14ac:dyDescent="0.2">
      <c r="A34" s="37"/>
      <c r="B34" s="19"/>
      <c r="C34" s="37"/>
      <c r="D34" s="17"/>
      <c r="E34" s="16"/>
      <c r="F34" s="18">
        <v>0</v>
      </c>
      <c r="G34" s="16" t="s">
        <v>50</v>
      </c>
      <c r="H34" s="39"/>
      <c r="I34" s="37"/>
      <c r="J34" s="37"/>
      <c r="K34" s="40"/>
    </row>
    <row r="35" spans="1:11" ht="12.75" customHeight="1" x14ac:dyDescent="0.2">
      <c r="A35" s="34"/>
      <c r="B35" s="19"/>
      <c r="C35" s="34"/>
      <c r="D35" s="18"/>
      <c r="E35" s="19"/>
      <c r="F35" s="18">
        <v>1</v>
      </c>
      <c r="G35" s="16" t="s">
        <v>51</v>
      </c>
      <c r="H35" s="35"/>
      <c r="I35" s="34"/>
      <c r="J35" s="34"/>
      <c r="K35" s="36"/>
    </row>
    <row r="36" spans="1:11" ht="12.75" customHeight="1" x14ac:dyDescent="0.2">
      <c r="A36" s="34"/>
      <c r="B36" s="19"/>
      <c r="C36" s="34"/>
      <c r="D36" s="18"/>
      <c r="E36" s="19"/>
      <c r="F36" s="18">
        <v>2</v>
      </c>
      <c r="G36" s="16" t="s">
        <v>52</v>
      </c>
      <c r="H36" s="35"/>
      <c r="I36" s="34"/>
      <c r="J36" s="34"/>
      <c r="K36" s="36"/>
    </row>
    <row r="37" spans="1:11" ht="12.75" customHeight="1" x14ac:dyDescent="0.2">
      <c r="A37" s="37"/>
      <c r="B37" s="19"/>
      <c r="C37" s="34"/>
      <c r="D37" s="18"/>
      <c r="E37" s="19"/>
      <c r="F37" s="18">
        <v>3</v>
      </c>
      <c r="G37" s="16" t="s">
        <v>53</v>
      </c>
      <c r="H37" s="35"/>
      <c r="I37" s="34"/>
      <c r="J37" s="34"/>
      <c r="K37" s="36"/>
    </row>
    <row r="38" spans="1:11" ht="12.75" x14ac:dyDescent="0.2">
      <c r="A38" s="34" t="s">
        <v>54</v>
      </c>
      <c r="B38" s="16" t="s">
        <v>55</v>
      </c>
      <c r="C38" s="34">
        <v>1</v>
      </c>
      <c r="D38" s="17"/>
      <c r="E38" s="16"/>
      <c r="F38" s="18"/>
      <c r="G38" s="16"/>
      <c r="H38" s="35"/>
      <c r="I38" s="34"/>
      <c r="J38" s="34"/>
      <c r="K38" s="36"/>
    </row>
    <row r="39" spans="1:11" ht="25.5" x14ac:dyDescent="0.2">
      <c r="A39" s="37"/>
      <c r="B39" s="16"/>
      <c r="C39" s="34"/>
      <c r="D39" s="17" t="s">
        <v>43</v>
      </c>
      <c r="E39" s="16" t="s">
        <v>56</v>
      </c>
      <c r="F39" s="18"/>
      <c r="G39" s="16"/>
      <c r="H39" s="35"/>
      <c r="I39" s="34">
        <v>4</v>
      </c>
      <c r="J39" s="34"/>
      <c r="K39" s="36">
        <v>0.8</v>
      </c>
    </row>
    <row r="40" spans="1:11" ht="12.75" x14ac:dyDescent="0.2">
      <c r="A40" s="37"/>
      <c r="B40" s="16"/>
      <c r="C40" s="37"/>
      <c r="D40" s="17"/>
      <c r="E40" s="16"/>
      <c r="F40" s="18">
        <v>0</v>
      </c>
      <c r="G40" s="16" t="s">
        <v>57</v>
      </c>
      <c r="H40" s="39"/>
      <c r="I40" s="37"/>
      <c r="J40" s="37"/>
      <c r="K40" s="40"/>
    </row>
    <row r="41" spans="1:11" ht="12.75" customHeight="1" x14ac:dyDescent="0.2">
      <c r="A41" s="34"/>
      <c r="B41" s="19"/>
      <c r="C41" s="34"/>
      <c r="D41" s="18"/>
      <c r="E41" s="19"/>
      <c r="F41" s="18">
        <v>1</v>
      </c>
      <c r="G41" s="16" t="s">
        <v>58</v>
      </c>
      <c r="H41" s="35"/>
      <c r="I41" s="34"/>
      <c r="J41" s="34"/>
      <c r="K41" s="36"/>
    </row>
    <row r="42" spans="1:11" ht="25.5" x14ac:dyDescent="0.2">
      <c r="A42" s="34"/>
      <c r="B42" s="19"/>
      <c r="C42" s="34"/>
      <c r="D42" s="18"/>
      <c r="E42" s="19"/>
      <c r="F42" s="18">
        <v>2</v>
      </c>
      <c r="G42" s="16" t="s">
        <v>59</v>
      </c>
      <c r="H42" s="35"/>
      <c r="I42" s="34"/>
      <c r="J42" s="34"/>
      <c r="K42" s="36"/>
    </row>
    <row r="43" spans="1:11" ht="25.5" x14ac:dyDescent="0.2">
      <c r="A43" s="34"/>
      <c r="B43" s="19"/>
      <c r="C43" s="34"/>
      <c r="D43" s="18"/>
      <c r="E43" s="19"/>
      <c r="F43" s="18">
        <v>3</v>
      </c>
      <c r="G43" s="16" t="s">
        <v>60</v>
      </c>
      <c r="H43" s="35"/>
      <c r="I43" s="34"/>
      <c r="J43" s="34"/>
      <c r="K43" s="36"/>
    </row>
    <row r="44" spans="1:11" ht="25.5" x14ac:dyDescent="0.2">
      <c r="A44" s="34"/>
      <c r="B44" s="16"/>
      <c r="C44" s="34"/>
      <c r="D44" s="17" t="s">
        <v>43</v>
      </c>
      <c r="E44" s="16" t="s">
        <v>61</v>
      </c>
      <c r="F44" s="18"/>
      <c r="G44" s="16"/>
      <c r="H44" s="35"/>
      <c r="I44" s="34">
        <v>3</v>
      </c>
      <c r="J44" s="34"/>
      <c r="K44" s="36">
        <v>0.75</v>
      </c>
    </row>
    <row r="45" spans="1:11" ht="12.75" x14ac:dyDescent="0.2">
      <c r="A45" s="37"/>
      <c r="B45" s="16"/>
      <c r="C45" s="37"/>
      <c r="D45" s="17"/>
      <c r="E45" s="16"/>
      <c r="F45" s="18">
        <v>0</v>
      </c>
      <c r="G45" s="16" t="s">
        <v>62</v>
      </c>
      <c r="H45" s="39"/>
      <c r="I45" s="37"/>
      <c r="J45" s="37"/>
      <c r="K45" s="40"/>
    </row>
    <row r="46" spans="1:11" ht="12.75" customHeight="1" x14ac:dyDescent="0.2">
      <c r="A46" s="34"/>
      <c r="B46" s="19"/>
      <c r="C46" s="34"/>
      <c r="D46" s="18"/>
      <c r="E46" s="19"/>
      <c r="F46" s="18">
        <v>1</v>
      </c>
      <c r="G46" s="16" t="s">
        <v>63</v>
      </c>
      <c r="H46" s="35"/>
      <c r="I46" s="34"/>
      <c r="J46" s="34"/>
      <c r="K46" s="36"/>
    </row>
    <row r="47" spans="1:11" ht="12.75" customHeight="1" x14ac:dyDescent="0.2">
      <c r="A47" s="34"/>
      <c r="B47" s="19"/>
      <c r="C47" s="34"/>
      <c r="D47" s="18"/>
      <c r="E47" s="19"/>
      <c r="F47" s="18">
        <v>2</v>
      </c>
      <c r="G47" s="16" t="s">
        <v>64</v>
      </c>
      <c r="H47" s="35"/>
      <c r="I47" s="34"/>
      <c r="J47" s="34"/>
      <c r="K47" s="36"/>
    </row>
    <row r="48" spans="1:11" ht="12.75" x14ac:dyDescent="0.2">
      <c r="A48" s="34"/>
      <c r="B48" s="19"/>
      <c r="C48" s="34"/>
      <c r="D48" s="18"/>
      <c r="E48" s="19"/>
      <c r="F48" s="18">
        <v>3</v>
      </c>
      <c r="G48" s="16" t="s">
        <v>65</v>
      </c>
      <c r="H48" s="35"/>
      <c r="I48" s="34"/>
      <c r="J48" s="34"/>
      <c r="K48" s="36"/>
    </row>
    <row r="49" spans="1:11" ht="12.75" customHeight="1" x14ac:dyDescent="0.2">
      <c r="A49" s="34"/>
      <c r="B49" s="35"/>
      <c r="C49" s="34"/>
      <c r="D49" s="18"/>
      <c r="E49" s="31"/>
      <c r="F49" s="18"/>
      <c r="G49" s="38"/>
      <c r="H49" s="39"/>
      <c r="I49" s="37"/>
      <c r="J49" s="37"/>
      <c r="K49" s="40"/>
    </row>
    <row r="50" spans="1:11" ht="166.5" customHeight="1" x14ac:dyDescent="0.2">
      <c r="A50" s="34" t="s">
        <v>66</v>
      </c>
      <c r="B50" s="35" t="s">
        <v>42</v>
      </c>
      <c r="C50" s="34">
        <v>1</v>
      </c>
      <c r="D50" s="34" t="s">
        <v>67</v>
      </c>
      <c r="E50" s="35" t="s">
        <v>68</v>
      </c>
      <c r="F50" s="34"/>
      <c r="G50" s="35" t="s">
        <v>614</v>
      </c>
      <c r="H50" s="35" t="s">
        <v>69</v>
      </c>
      <c r="I50" s="34">
        <v>1</v>
      </c>
      <c r="J50" s="34"/>
      <c r="K50" s="36">
        <v>1</v>
      </c>
    </row>
    <row r="51" spans="1:11" ht="12.75" x14ac:dyDescent="0.2">
      <c r="A51" s="37"/>
      <c r="B51" s="39"/>
      <c r="C51" s="37"/>
      <c r="D51" s="37"/>
      <c r="E51" s="39"/>
      <c r="F51" s="37"/>
      <c r="G51" s="39"/>
      <c r="H51" s="39"/>
      <c r="I51" s="37"/>
      <c r="J51" s="37"/>
      <c r="K51" s="40"/>
    </row>
    <row r="52" spans="1:11" ht="51" x14ac:dyDescent="0.2">
      <c r="A52" s="34" t="s">
        <v>70</v>
      </c>
      <c r="B52" s="35" t="s">
        <v>71</v>
      </c>
      <c r="C52" s="34">
        <v>1</v>
      </c>
      <c r="D52" s="34" t="s">
        <v>67</v>
      </c>
      <c r="E52" s="35" t="s">
        <v>72</v>
      </c>
      <c r="F52" s="34"/>
      <c r="G52" s="35" t="s">
        <v>615</v>
      </c>
      <c r="H52" s="35" t="s">
        <v>69</v>
      </c>
      <c r="I52" s="34">
        <v>1</v>
      </c>
      <c r="J52" s="34"/>
      <c r="K52" s="36">
        <v>0.75</v>
      </c>
    </row>
    <row r="53" spans="1:11" ht="12.75" x14ac:dyDescent="0.2">
      <c r="A53" s="37"/>
      <c r="B53" s="39"/>
      <c r="C53" s="37"/>
      <c r="D53" s="37"/>
      <c r="E53" s="39"/>
      <c r="F53" s="37"/>
      <c r="G53" s="39"/>
      <c r="H53" s="39"/>
      <c r="I53" s="37"/>
      <c r="J53" s="37"/>
      <c r="K53" s="40"/>
    </row>
    <row r="54" spans="1:11" ht="25.5" x14ac:dyDescent="0.2">
      <c r="A54" s="34" t="s">
        <v>73</v>
      </c>
      <c r="B54" s="35" t="s">
        <v>74</v>
      </c>
      <c r="C54" s="34">
        <v>1</v>
      </c>
      <c r="D54" s="34" t="s">
        <v>67</v>
      </c>
      <c r="E54" s="35" t="s">
        <v>75</v>
      </c>
      <c r="F54" s="34"/>
      <c r="G54" s="35" t="s">
        <v>76</v>
      </c>
      <c r="H54" s="35" t="s">
        <v>69</v>
      </c>
      <c r="I54" s="34">
        <v>5</v>
      </c>
      <c r="J54" s="34"/>
      <c r="K54" s="36">
        <v>0.75</v>
      </c>
    </row>
    <row r="55" spans="1:11" ht="25.5" x14ac:dyDescent="0.2">
      <c r="A55" s="34"/>
      <c r="B55" s="35"/>
      <c r="C55" s="34"/>
      <c r="D55" s="34" t="s">
        <v>67</v>
      </c>
      <c r="E55" s="35" t="s">
        <v>77</v>
      </c>
      <c r="F55" s="34"/>
      <c r="G55" s="35" t="s">
        <v>78</v>
      </c>
      <c r="H55" s="35" t="s">
        <v>69</v>
      </c>
      <c r="I55" s="34">
        <v>5</v>
      </c>
      <c r="J55" s="34"/>
      <c r="K55" s="36">
        <v>0.75</v>
      </c>
    </row>
    <row r="56" spans="1:11" ht="12.75" x14ac:dyDescent="0.2">
      <c r="A56" s="37"/>
      <c r="B56" s="39"/>
      <c r="C56" s="37"/>
      <c r="D56" s="37"/>
      <c r="E56" s="39"/>
      <c r="F56" s="37"/>
      <c r="G56" s="39"/>
      <c r="H56" s="39"/>
      <c r="I56" s="37"/>
      <c r="J56" s="37"/>
      <c r="K56" s="40"/>
    </row>
    <row r="57" spans="1:11" ht="12.75" customHeight="1" x14ac:dyDescent="0.2">
      <c r="A57" s="34" t="s">
        <v>79</v>
      </c>
      <c r="B57" s="35" t="s">
        <v>42</v>
      </c>
      <c r="C57" s="34">
        <v>1</v>
      </c>
      <c r="D57" s="37"/>
      <c r="E57" s="39"/>
      <c r="F57" s="37"/>
      <c r="G57" s="39"/>
      <c r="H57" s="39"/>
      <c r="I57" s="37"/>
      <c r="J57" s="37"/>
      <c r="K57" s="40"/>
    </row>
    <row r="58" spans="1:11" ht="12.75" x14ac:dyDescent="0.2">
      <c r="A58" s="34"/>
      <c r="B58" s="35"/>
      <c r="C58" s="34"/>
      <c r="D58" s="17" t="s">
        <v>43</v>
      </c>
      <c r="E58" s="16" t="s">
        <v>80</v>
      </c>
      <c r="F58" s="18"/>
      <c r="G58" s="16"/>
      <c r="H58" s="35"/>
      <c r="I58" s="34">
        <v>4</v>
      </c>
      <c r="J58" s="34"/>
      <c r="K58" s="36">
        <v>1</v>
      </c>
    </row>
    <row r="59" spans="1:11" ht="12.75" x14ac:dyDescent="0.2">
      <c r="A59" s="37"/>
      <c r="B59" s="39"/>
      <c r="C59" s="37"/>
      <c r="D59" s="17"/>
      <c r="E59" s="16"/>
      <c r="F59" s="18">
        <v>0</v>
      </c>
      <c r="G59" s="16" t="s">
        <v>45</v>
      </c>
      <c r="H59" s="39"/>
      <c r="I59" s="37"/>
      <c r="J59" s="37"/>
      <c r="K59" s="40"/>
    </row>
    <row r="60" spans="1:11" ht="12.75" x14ac:dyDescent="0.2">
      <c r="A60" s="34"/>
      <c r="B60" s="19"/>
      <c r="C60" s="34"/>
      <c r="D60" s="18"/>
      <c r="E60" s="19"/>
      <c r="F60" s="18">
        <v>1</v>
      </c>
      <c r="G60" s="16" t="s">
        <v>46</v>
      </c>
      <c r="H60" s="35"/>
      <c r="I60" s="34"/>
      <c r="J60" s="34"/>
      <c r="K60" s="36"/>
    </row>
    <row r="61" spans="1:11" ht="12.75" x14ac:dyDescent="0.2">
      <c r="A61" s="34"/>
      <c r="B61" s="19"/>
      <c r="C61" s="34"/>
      <c r="D61" s="18"/>
      <c r="E61" s="19"/>
      <c r="F61" s="18">
        <v>2</v>
      </c>
      <c r="G61" s="16" t="s">
        <v>47</v>
      </c>
      <c r="H61" s="35"/>
      <c r="I61" s="34"/>
      <c r="J61" s="34"/>
      <c r="K61" s="36"/>
    </row>
    <row r="62" spans="1:11" ht="25.5" x14ac:dyDescent="0.2">
      <c r="A62" s="34"/>
      <c r="B62" s="19"/>
      <c r="C62" s="34"/>
      <c r="D62" s="18"/>
      <c r="E62" s="19"/>
      <c r="F62" s="18">
        <v>3</v>
      </c>
      <c r="G62" s="16" t="s">
        <v>48</v>
      </c>
      <c r="H62" s="35"/>
      <c r="I62" s="34"/>
      <c r="J62" s="34"/>
      <c r="K62" s="36"/>
    </row>
    <row r="63" spans="1:11" ht="25.5" x14ac:dyDescent="0.2">
      <c r="A63" s="34"/>
      <c r="B63" s="16"/>
      <c r="C63" s="34"/>
      <c r="D63" s="17" t="s">
        <v>43</v>
      </c>
      <c r="E63" s="16" t="s">
        <v>81</v>
      </c>
      <c r="F63" s="18"/>
      <c r="G63" s="16"/>
      <c r="H63" s="35"/>
      <c r="I63" s="34">
        <v>4</v>
      </c>
      <c r="J63" s="34"/>
      <c r="K63" s="36">
        <v>0.5</v>
      </c>
    </row>
    <row r="64" spans="1:11" ht="12.75" x14ac:dyDescent="0.2">
      <c r="A64" s="37"/>
      <c r="B64" s="16"/>
      <c r="C64" s="37"/>
      <c r="D64" s="17"/>
      <c r="E64" s="16"/>
      <c r="F64" s="18">
        <v>0</v>
      </c>
      <c r="G64" s="16" t="s">
        <v>50</v>
      </c>
      <c r="H64" s="39"/>
      <c r="I64" s="37"/>
      <c r="J64" s="37"/>
      <c r="K64" s="40"/>
    </row>
    <row r="65" spans="1:11" ht="12.75" x14ac:dyDescent="0.2">
      <c r="A65" s="34"/>
      <c r="B65" s="19"/>
      <c r="C65" s="34"/>
      <c r="D65" s="18"/>
      <c r="E65" s="19"/>
      <c r="F65" s="18">
        <v>1</v>
      </c>
      <c r="G65" s="16" t="s">
        <v>51</v>
      </c>
      <c r="H65" s="35"/>
      <c r="I65" s="34"/>
      <c r="J65" s="34"/>
      <c r="K65" s="36"/>
    </row>
    <row r="66" spans="1:11" ht="12.75" x14ac:dyDescent="0.2">
      <c r="A66" s="34"/>
      <c r="B66" s="19"/>
      <c r="C66" s="34"/>
      <c r="D66" s="18"/>
      <c r="E66" s="19"/>
      <c r="F66" s="18">
        <v>2</v>
      </c>
      <c r="G66" s="16" t="s">
        <v>52</v>
      </c>
      <c r="H66" s="35"/>
      <c r="I66" s="34"/>
      <c r="J66" s="34"/>
      <c r="K66" s="36"/>
    </row>
    <row r="67" spans="1:11" ht="12.75" x14ac:dyDescent="0.2">
      <c r="A67" s="34"/>
      <c r="B67" s="19"/>
      <c r="C67" s="34"/>
      <c r="D67" s="18"/>
      <c r="E67" s="19"/>
      <c r="F67" s="18">
        <v>3</v>
      </c>
      <c r="G67" s="16" t="s">
        <v>53</v>
      </c>
      <c r="H67" s="35"/>
      <c r="I67" s="34"/>
      <c r="J67" s="34"/>
      <c r="K67" s="36"/>
    </row>
    <row r="68" spans="1:11" ht="12.75" x14ac:dyDescent="0.2">
      <c r="A68" s="34"/>
      <c r="B68" s="16"/>
      <c r="C68" s="34"/>
      <c r="D68" s="17" t="s">
        <v>43</v>
      </c>
      <c r="E68" s="16" t="s">
        <v>82</v>
      </c>
      <c r="F68" s="18"/>
      <c r="G68" s="16"/>
      <c r="H68" s="35"/>
      <c r="I68" s="34">
        <v>4</v>
      </c>
      <c r="J68" s="34"/>
      <c r="K68" s="36">
        <v>1</v>
      </c>
    </row>
    <row r="69" spans="1:11" ht="12.75" x14ac:dyDescent="0.2">
      <c r="A69" s="37"/>
      <c r="B69" s="16"/>
      <c r="C69" s="37"/>
      <c r="D69" s="17"/>
      <c r="E69" s="16"/>
      <c r="F69" s="18">
        <v>0</v>
      </c>
      <c r="G69" s="16" t="s">
        <v>45</v>
      </c>
      <c r="H69" s="39"/>
      <c r="I69" s="37"/>
      <c r="J69" s="37"/>
      <c r="K69" s="40"/>
    </row>
    <row r="70" spans="1:11" ht="12.75" x14ac:dyDescent="0.2">
      <c r="A70" s="34"/>
      <c r="B70" s="19"/>
      <c r="C70" s="34"/>
      <c r="D70" s="18"/>
      <c r="E70" s="19"/>
      <c r="F70" s="18">
        <v>1</v>
      </c>
      <c r="G70" s="16" t="s">
        <v>46</v>
      </c>
      <c r="H70" s="35"/>
      <c r="I70" s="34"/>
      <c r="J70" s="34"/>
      <c r="K70" s="36"/>
    </row>
    <row r="71" spans="1:11" ht="12.75" x14ac:dyDescent="0.2">
      <c r="A71" s="34"/>
      <c r="B71" s="19"/>
      <c r="C71" s="34"/>
      <c r="D71" s="18"/>
      <c r="E71" s="19"/>
      <c r="F71" s="18">
        <v>2</v>
      </c>
      <c r="G71" s="16" t="s">
        <v>47</v>
      </c>
      <c r="H71" s="35"/>
      <c r="I71" s="34"/>
      <c r="J71" s="34"/>
      <c r="K71" s="36"/>
    </row>
    <row r="72" spans="1:11" ht="25.5" x14ac:dyDescent="0.2">
      <c r="A72" s="34"/>
      <c r="B72" s="19"/>
      <c r="C72" s="34"/>
      <c r="D72" s="18"/>
      <c r="E72" s="19"/>
      <c r="F72" s="18">
        <v>3</v>
      </c>
      <c r="G72" s="16" t="s">
        <v>48</v>
      </c>
      <c r="H72" s="35"/>
      <c r="I72" s="34"/>
      <c r="J72" s="34"/>
      <c r="K72" s="36"/>
    </row>
    <row r="73" spans="1:11" ht="12.75" x14ac:dyDescent="0.2">
      <c r="A73" s="34" t="s">
        <v>83</v>
      </c>
      <c r="B73" s="35" t="s">
        <v>55</v>
      </c>
      <c r="C73" s="34">
        <v>1</v>
      </c>
      <c r="D73" s="18"/>
      <c r="E73" s="19"/>
      <c r="F73" s="18"/>
      <c r="G73" s="16"/>
      <c r="H73" s="39"/>
      <c r="I73" s="37"/>
      <c r="J73" s="37"/>
      <c r="K73" s="40"/>
    </row>
    <row r="74" spans="1:11" ht="25.5" x14ac:dyDescent="0.2">
      <c r="A74" s="34"/>
      <c r="B74" s="35"/>
      <c r="C74" s="34"/>
      <c r="D74" s="17" t="s">
        <v>43</v>
      </c>
      <c r="E74" s="16" t="s">
        <v>84</v>
      </c>
      <c r="F74" s="18"/>
      <c r="G74" s="16"/>
      <c r="H74" s="35"/>
      <c r="I74" s="34">
        <v>4</v>
      </c>
      <c r="J74" s="34"/>
      <c r="K74" s="36">
        <v>0.8</v>
      </c>
    </row>
    <row r="75" spans="1:11" ht="12.75" x14ac:dyDescent="0.2">
      <c r="A75" s="37"/>
      <c r="B75" s="39"/>
      <c r="C75" s="37"/>
      <c r="D75" s="17"/>
      <c r="E75" s="16"/>
      <c r="F75" s="18">
        <v>0</v>
      </c>
      <c r="G75" s="16" t="s">
        <v>50</v>
      </c>
      <c r="H75" s="39"/>
      <c r="I75" s="37"/>
      <c r="J75" s="37"/>
      <c r="K75" s="40"/>
    </row>
    <row r="76" spans="1:11" ht="12.75" x14ac:dyDescent="0.2">
      <c r="A76" s="34"/>
      <c r="B76" s="19"/>
      <c r="C76" s="34"/>
      <c r="D76" s="18"/>
      <c r="E76" s="19"/>
      <c r="F76" s="18">
        <v>1</v>
      </c>
      <c r="G76" s="16" t="s">
        <v>51</v>
      </c>
      <c r="H76" s="35"/>
      <c r="I76" s="34"/>
      <c r="J76" s="34"/>
      <c r="K76" s="36"/>
    </row>
    <row r="77" spans="1:11" ht="12.75" x14ac:dyDescent="0.2">
      <c r="A77" s="34"/>
      <c r="B77" s="19"/>
      <c r="C77" s="34"/>
      <c r="D77" s="18"/>
      <c r="E77" s="19"/>
      <c r="F77" s="18">
        <v>2</v>
      </c>
      <c r="G77" s="16" t="s">
        <v>52</v>
      </c>
      <c r="H77" s="35"/>
      <c r="I77" s="34"/>
      <c r="J77" s="34"/>
      <c r="K77" s="36"/>
    </row>
    <row r="78" spans="1:11" ht="12.75" x14ac:dyDescent="0.2">
      <c r="A78" s="34"/>
      <c r="B78" s="19"/>
      <c r="C78" s="34"/>
      <c r="D78" s="18"/>
      <c r="E78" s="19"/>
      <c r="F78" s="18">
        <v>3</v>
      </c>
      <c r="G78" s="16" t="s">
        <v>53</v>
      </c>
      <c r="H78" s="35"/>
      <c r="I78" s="34"/>
      <c r="J78" s="34"/>
      <c r="K78" s="36"/>
    </row>
    <row r="79" spans="1:11" ht="27.6" customHeight="1" x14ac:dyDescent="0.2">
      <c r="A79" s="34"/>
      <c r="B79" s="16"/>
      <c r="C79" s="34"/>
      <c r="D79" s="17" t="s">
        <v>43</v>
      </c>
      <c r="E79" s="20" t="s">
        <v>85</v>
      </c>
      <c r="F79" s="18"/>
      <c r="G79" s="16"/>
      <c r="H79" s="35"/>
      <c r="I79" s="34">
        <v>4</v>
      </c>
      <c r="J79" s="34"/>
      <c r="K79" s="36">
        <v>1</v>
      </c>
    </row>
    <row r="80" spans="1:11" ht="12.75" x14ac:dyDescent="0.2">
      <c r="A80" s="37"/>
      <c r="B80" s="16"/>
      <c r="C80" s="37"/>
      <c r="D80" s="17"/>
      <c r="E80" s="45"/>
      <c r="F80" s="18">
        <v>0</v>
      </c>
      <c r="G80" s="16" t="s">
        <v>86</v>
      </c>
      <c r="H80" s="39"/>
      <c r="I80" s="37"/>
      <c r="J80" s="37"/>
      <c r="K80" s="40"/>
    </row>
    <row r="81" spans="1:11" ht="12.75" x14ac:dyDescent="0.2">
      <c r="A81" s="34"/>
      <c r="B81" s="19"/>
      <c r="C81" s="34"/>
      <c r="D81" s="18"/>
      <c r="E81" s="19"/>
      <c r="F81" s="18">
        <v>1</v>
      </c>
      <c r="G81" s="16" t="s">
        <v>87</v>
      </c>
      <c r="H81" s="35"/>
      <c r="I81" s="34"/>
      <c r="J81" s="34"/>
      <c r="K81" s="36"/>
    </row>
    <row r="82" spans="1:11" ht="12.75" x14ac:dyDescent="0.2">
      <c r="A82" s="34"/>
      <c r="B82" s="19"/>
      <c r="C82" s="34"/>
      <c r="D82" s="18"/>
      <c r="E82" s="19"/>
      <c r="F82" s="18">
        <v>2</v>
      </c>
      <c r="G82" s="16" t="s">
        <v>88</v>
      </c>
      <c r="H82" s="35"/>
      <c r="I82" s="34"/>
      <c r="J82" s="34"/>
      <c r="K82" s="36"/>
    </row>
    <row r="83" spans="1:11" ht="12.75" x14ac:dyDescent="0.2">
      <c r="A83" s="34"/>
      <c r="B83" s="19"/>
      <c r="C83" s="34"/>
      <c r="D83" s="18"/>
      <c r="E83" s="19"/>
      <c r="F83" s="18">
        <v>3</v>
      </c>
      <c r="G83" s="16" t="s">
        <v>89</v>
      </c>
      <c r="H83" s="35"/>
      <c r="I83" s="34"/>
      <c r="J83" s="34"/>
      <c r="K83" s="36"/>
    </row>
    <row r="84" spans="1:11" ht="12.75" x14ac:dyDescent="0.2">
      <c r="A84" s="34" t="s">
        <v>90</v>
      </c>
      <c r="B84" s="35" t="s">
        <v>55</v>
      </c>
      <c r="C84" s="34">
        <v>1</v>
      </c>
      <c r="D84" s="18"/>
      <c r="E84" s="19"/>
      <c r="F84" s="18"/>
      <c r="G84" s="16"/>
      <c r="H84" s="35"/>
      <c r="I84" s="34"/>
      <c r="J84" s="34"/>
      <c r="K84" s="36"/>
    </row>
    <row r="85" spans="1:11" ht="12.75" x14ac:dyDescent="0.2">
      <c r="A85" s="34"/>
      <c r="B85" s="35"/>
      <c r="C85" s="34"/>
      <c r="D85" s="17" t="s">
        <v>43</v>
      </c>
      <c r="E85" s="16" t="s">
        <v>91</v>
      </c>
      <c r="F85" s="18"/>
      <c r="G85" s="16"/>
      <c r="H85" s="35"/>
      <c r="I85" s="34">
        <v>4</v>
      </c>
      <c r="J85" s="34"/>
      <c r="K85" s="36">
        <v>1</v>
      </c>
    </row>
    <row r="86" spans="1:11" ht="12.75" x14ac:dyDescent="0.2">
      <c r="A86" s="37"/>
      <c r="B86" s="39"/>
      <c r="C86" s="37"/>
      <c r="D86" s="17"/>
      <c r="E86" s="16"/>
      <c r="F86" s="18">
        <v>0</v>
      </c>
      <c r="G86" s="16" t="s">
        <v>92</v>
      </c>
      <c r="H86" s="39"/>
      <c r="I86" s="37"/>
      <c r="J86" s="37"/>
      <c r="K86" s="40"/>
    </row>
    <row r="87" spans="1:11" ht="12.75" x14ac:dyDescent="0.2">
      <c r="A87" s="34"/>
      <c r="B87" s="19"/>
      <c r="C87" s="34"/>
      <c r="D87" s="18"/>
      <c r="E87" s="19"/>
      <c r="F87" s="18">
        <v>1</v>
      </c>
      <c r="G87" s="16" t="s">
        <v>93</v>
      </c>
      <c r="H87" s="35"/>
      <c r="I87" s="34"/>
      <c r="J87" s="34"/>
      <c r="K87" s="36"/>
    </row>
    <row r="88" spans="1:11" ht="12.75" x14ac:dyDescent="0.2">
      <c r="A88" s="34"/>
      <c r="B88" s="19"/>
      <c r="C88" s="34"/>
      <c r="D88" s="18"/>
      <c r="E88" s="19"/>
      <c r="F88" s="18">
        <v>2</v>
      </c>
      <c r="G88" s="16" t="s">
        <v>94</v>
      </c>
      <c r="H88" s="35"/>
      <c r="I88" s="34"/>
      <c r="J88" s="34"/>
      <c r="K88" s="36"/>
    </row>
    <row r="89" spans="1:11" ht="12.75" x14ac:dyDescent="0.2">
      <c r="A89" s="34"/>
      <c r="B89" s="19"/>
      <c r="C89" s="34"/>
      <c r="D89" s="18"/>
      <c r="E89" s="19"/>
      <c r="F89" s="18">
        <v>3</v>
      </c>
      <c r="G89" s="16" t="s">
        <v>95</v>
      </c>
      <c r="H89" s="35"/>
      <c r="I89" s="34"/>
      <c r="J89" s="34"/>
      <c r="K89" s="36"/>
    </row>
    <row r="90" spans="1:11" ht="25.5" x14ac:dyDescent="0.2">
      <c r="A90" s="34"/>
      <c r="B90" s="16"/>
      <c r="C90" s="34"/>
      <c r="D90" s="17" t="s">
        <v>43</v>
      </c>
      <c r="E90" s="16" t="s">
        <v>96</v>
      </c>
      <c r="F90" s="18"/>
      <c r="G90" s="16"/>
      <c r="H90" s="35"/>
      <c r="I90" s="34">
        <v>2</v>
      </c>
      <c r="J90" s="34"/>
      <c r="K90" s="36">
        <v>0.75</v>
      </c>
    </row>
    <row r="91" spans="1:11" ht="12.75" x14ac:dyDescent="0.2">
      <c r="A91" s="37"/>
      <c r="B91" s="16"/>
      <c r="C91" s="37"/>
      <c r="D91" s="17"/>
      <c r="E91" s="16"/>
      <c r="F91" s="18">
        <v>0</v>
      </c>
      <c r="G91" s="16" t="s">
        <v>97</v>
      </c>
      <c r="H91" s="39"/>
      <c r="I91" s="37"/>
      <c r="J91" s="37"/>
      <c r="K91" s="40"/>
    </row>
    <row r="92" spans="1:11" ht="12.75" x14ac:dyDescent="0.2">
      <c r="A92" s="34"/>
      <c r="B92" s="19"/>
      <c r="C92" s="34"/>
      <c r="D92" s="18"/>
      <c r="E92" s="19"/>
      <c r="F92" s="18">
        <v>1</v>
      </c>
      <c r="G92" s="16" t="s">
        <v>98</v>
      </c>
      <c r="H92" s="35"/>
      <c r="I92" s="34"/>
      <c r="J92" s="34"/>
      <c r="K92" s="36"/>
    </row>
    <row r="93" spans="1:11" ht="25.5" x14ac:dyDescent="0.2">
      <c r="A93" s="34"/>
      <c r="B93" s="19"/>
      <c r="C93" s="34"/>
      <c r="D93" s="18"/>
      <c r="E93" s="19"/>
      <c r="F93" s="18">
        <v>2</v>
      </c>
      <c r="G93" s="16" t="s">
        <v>99</v>
      </c>
      <c r="H93" s="35"/>
      <c r="I93" s="34"/>
      <c r="J93" s="34"/>
      <c r="K93" s="36"/>
    </row>
    <row r="94" spans="1:11" ht="12.75" x14ac:dyDescent="0.2">
      <c r="A94" s="34"/>
      <c r="B94" s="19"/>
      <c r="C94" s="34"/>
      <c r="D94" s="18"/>
      <c r="E94" s="19"/>
      <c r="F94" s="18">
        <v>3</v>
      </c>
      <c r="G94" s="16" t="s">
        <v>100</v>
      </c>
      <c r="H94" s="35"/>
      <c r="I94" s="34"/>
      <c r="J94" s="34"/>
      <c r="K94" s="36"/>
    </row>
    <row r="95" spans="1:11" ht="12.75" x14ac:dyDescent="0.2">
      <c r="A95" s="34" t="s">
        <v>101</v>
      </c>
      <c r="B95" s="35" t="s">
        <v>55</v>
      </c>
      <c r="C95" s="34">
        <v>1</v>
      </c>
      <c r="D95" s="18"/>
      <c r="E95" s="19"/>
      <c r="F95" s="18"/>
      <c r="G95" s="19"/>
      <c r="H95" s="35"/>
      <c r="I95" s="34"/>
      <c r="J95" s="34"/>
      <c r="K95" s="36"/>
    </row>
    <row r="96" spans="1:11" ht="25.5" x14ac:dyDescent="0.2">
      <c r="A96" s="34"/>
      <c r="B96" s="35"/>
      <c r="C96" s="34"/>
      <c r="D96" s="17" t="s">
        <v>43</v>
      </c>
      <c r="E96" s="16" t="s">
        <v>102</v>
      </c>
      <c r="F96" s="18"/>
      <c r="G96" s="16"/>
      <c r="H96" s="35"/>
      <c r="I96" s="34">
        <v>4</v>
      </c>
      <c r="J96" s="34"/>
      <c r="K96" s="36">
        <v>0.8</v>
      </c>
    </row>
    <row r="97" spans="1:11" ht="12.75" x14ac:dyDescent="0.2">
      <c r="A97" s="37"/>
      <c r="B97" s="39"/>
      <c r="C97" s="37"/>
      <c r="D97" s="17"/>
      <c r="E97" s="16"/>
      <c r="F97" s="18">
        <v>0</v>
      </c>
      <c r="G97" s="16" t="s">
        <v>57</v>
      </c>
      <c r="H97" s="39"/>
      <c r="I97" s="37"/>
      <c r="J97" s="37"/>
      <c r="K97" s="40"/>
    </row>
    <row r="98" spans="1:11" ht="12.75" x14ac:dyDescent="0.2">
      <c r="A98" s="34"/>
      <c r="B98" s="19"/>
      <c r="C98" s="34"/>
      <c r="D98" s="18"/>
      <c r="E98" s="19"/>
      <c r="F98" s="18">
        <v>1</v>
      </c>
      <c r="G98" s="16" t="s">
        <v>58</v>
      </c>
      <c r="H98" s="35"/>
      <c r="I98" s="34"/>
      <c r="J98" s="34"/>
      <c r="K98" s="36"/>
    </row>
    <row r="99" spans="1:11" ht="25.5" x14ac:dyDescent="0.2">
      <c r="A99" s="34"/>
      <c r="B99" s="19"/>
      <c r="C99" s="34"/>
      <c r="D99" s="18"/>
      <c r="E99" s="19"/>
      <c r="F99" s="18">
        <v>2</v>
      </c>
      <c r="G99" s="16" t="s">
        <v>103</v>
      </c>
      <c r="H99" s="35"/>
      <c r="I99" s="34"/>
      <c r="J99" s="34"/>
      <c r="K99" s="36"/>
    </row>
    <row r="100" spans="1:11" ht="38.25" x14ac:dyDescent="0.2">
      <c r="A100" s="34"/>
      <c r="B100" s="19"/>
      <c r="C100" s="34"/>
      <c r="D100" s="18"/>
      <c r="E100" s="19"/>
      <c r="F100" s="18">
        <v>3</v>
      </c>
      <c r="G100" s="16" t="s">
        <v>104</v>
      </c>
      <c r="H100" s="35"/>
      <c r="I100" s="34"/>
      <c r="J100" s="34"/>
      <c r="K100" s="36"/>
    </row>
    <row r="101" spans="1:11" ht="12.75" x14ac:dyDescent="0.2">
      <c r="A101" s="34"/>
      <c r="B101" s="16"/>
      <c r="C101" s="34"/>
      <c r="D101" s="17" t="s">
        <v>43</v>
      </c>
      <c r="E101" s="16" t="s">
        <v>105</v>
      </c>
      <c r="F101" s="18"/>
      <c r="G101" s="16"/>
      <c r="H101" s="35"/>
      <c r="I101" s="34">
        <v>3</v>
      </c>
      <c r="J101" s="34"/>
      <c r="K101" s="36">
        <v>0.75</v>
      </c>
    </row>
    <row r="102" spans="1:11" ht="12.75" x14ac:dyDescent="0.2">
      <c r="A102" s="37"/>
      <c r="B102" s="16"/>
      <c r="C102" s="37"/>
      <c r="D102" s="17"/>
      <c r="E102" s="16"/>
      <c r="F102" s="18">
        <v>0</v>
      </c>
      <c r="G102" s="16" t="s">
        <v>106</v>
      </c>
      <c r="H102" s="39"/>
      <c r="I102" s="37"/>
      <c r="J102" s="37"/>
      <c r="K102" s="40"/>
    </row>
    <row r="103" spans="1:11" ht="12.75" x14ac:dyDescent="0.2">
      <c r="A103" s="34"/>
      <c r="B103" s="19"/>
      <c r="C103" s="34"/>
      <c r="D103" s="18"/>
      <c r="E103" s="19"/>
      <c r="F103" s="18">
        <v>1</v>
      </c>
      <c r="G103" s="16" t="s">
        <v>107</v>
      </c>
      <c r="H103" s="35"/>
      <c r="I103" s="34"/>
      <c r="J103" s="34"/>
      <c r="K103" s="36"/>
    </row>
    <row r="104" spans="1:11" ht="12.75" x14ac:dyDescent="0.2">
      <c r="A104" s="34"/>
      <c r="B104" s="19"/>
      <c r="C104" s="34"/>
      <c r="D104" s="18"/>
      <c r="E104" s="19"/>
      <c r="F104" s="18">
        <v>2</v>
      </c>
      <c r="G104" s="16" t="s">
        <v>108</v>
      </c>
      <c r="H104" s="35"/>
      <c r="I104" s="34"/>
      <c r="J104" s="34"/>
      <c r="K104" s="36"/>
    </row>
    <row r="105" spans="1:11" ht="12.75" x14ac:dyDescent="0.2">
      <c r="A105" s="34"/>
      <c r="B105" s="19"/>
      <c r="C105" s="34"/>
      <c r="D105" s="18"/>
      <c r="E105" s="19"/>
      <c r="F105" s="18">
        <v>3</v>
      </c>
      <c r="G105" s="16" t="s">
        <v>109</v>
      </c>
      <c r="H105" s="35"/>
      <c r="I105" s="34"/>
      <c r="J105" s="34"/>
      <c r="K105" s="36"/>
    </row>
    <row r="106" spans="1:11" ht="12.75" x14ac:dyDescent="0.2">
      <c r="A106" s="34" t="s">
        <v>110</v>
      </c>
      <c r="B106" s="35" t="s">
        <v>55</v>
      </c>
      <c r="C106" s="34">
        <v>1</v>
      </c>
      <c r="D106" s="18"/>
      <c r="E106" s="19"/>
      <c r="F106" s="18"/>
      <c r="G106" s="19"/>
      <c r="H106" s="35"/>
      <c r="I106" s="34"/>
      <c r="J106" s="34"/>
      <c r="K106" s="36"/>
    </row>
    <row r="107" spans="1:11" ht="25.5" x14ac:dyDescent="0.2">
      <c r="A107" s="34"/>
      <c r="B107" s="35"/>
      <c r="C107" s="34"/>
      <c r="D107" s="17" t="s">
        <v>43</v>
      </c>
      <c r="E107" s="16" t="s">
        <v>111</v>
      </c>
      <c r="F107" s="18"/>
      <c r="G107" s="16"/>
      <c r="H107" s="35"/>
      <c r="I107" s="34">
        <v>4</v>
      </c>
      <c r="J107" s="34"/>
      <c r="K107" s="36">
        <v>0.8</v>
      </c>
    </row>
    <row r="108" spans="1:11" ht="12.75" x14ac:dyDescent="0.2">
      <c r="A108" s="37"/>
      <c r="B108" s="39"/>
      <c r="C108" s="37"/>
      <c r="D108" s="17"/>
      <c r="E108" s="16"/>
      <c r="F108" s="18">
        <v>0</v>
      </c>
      <c r="G108" s="16" t="s">
        <v>57</v>
      </c>
      <c r="H108" s="39"/>
      <c r="I108" s="37"/>
      <c r="J108" s="37"/>
      <c r="K108" s="40"/>
    </row>
    <row r="109" spans="1:11" ht="12.75" x14ac:dyDescent="0.2">
      <c r="A109" s="34"/>
      <c r="B109" s="19"/>
      <c r="C109" s="34"/>
      <c r="D109" s="18"/>
      <c r="E109" s="19"/>
      <c r="F109" s="18">
        <v>1</v>
      </c>
      <c r="G109" s="16" t="s">
        <v>58</v>
      </c>
      <c r="H109" s="35"/>
      <c r="I109" s="34"/>
      <c r="J109" s="34"/>
      <c r="K109" s="36"/>
    </row>
    <row r="110" spans="1:11" ht="25.5" x14ac:dyDescent="0.2">
      <c r="A110" s="34"/>
      <c r="B110" s="19"/>
      <c r="C110" s="34"/>
      <c r="D110" s="18"/>
      <c r="E110" s="19"/>
      <c r="F110" s="18">
        <v>2</v>
      </c>
      <c r="G110" s="16" t="s">
        <v>103</v>
      </c>
      <c r="H110" s="35"/>
      <c r="I110" s="34"/>
      <c r="J110" s="34"/>
      <c r="K110" s="36"/>
    </row>
    <row r="111" spans="1:11" ht="38.25" x14ac:dyDescent="0.2">
      <c r="A111" s="34"/>
      <c r="B111" s="19"/>
      <c r="C111" s="34"/>
      <c r="D111" s="18"/>
      <c r="E111" s="19"/>
      <c r="F111" s="18">
        <v>3</v>
      </c>
      <c r="G111" s="16" t="s">
        <v>104</v>
      </c>
      <c r="H111" s="35"/>
      <c r="I111" s="34"/>
      <c r="J111" s="34"/>
      <c r="K111" s="36"/>
    </row>
    <row r="112" spans="1:11" ht="25.5" x14ac:dyDescent="0.2">
      <c r="A112" s="34"/>
      <c r="B112" s="19"/>
      <c r="C112" s="34"/>
      <c r="D112" s="17" t="s">
        <v>43</v>
      </c>
      <c r="E112" s="16" t="s">
        <v>112</v>
      </c>
      <c r="F112" s="18"/>
      <c r="G112" s="19"/>
      <c r="H112" s="35"/>
      <c r="I112" s="34">
        <v>3</v>
      </c>
      <c r="J112" s="34"/>
      <c r="K112" s="36">
        <v>1</v>
      </c>
    </row>
    <row r="113" spans="1:11" ht="12.75" x14ac:dyDescent="0.2">
      <c r="A113" s="34"/>
      <c r="B113" s="16"/>
      <c r="C113" s="34"/>
      <c r="D113" s="17"/>
      <c r="E113" s="16"/>
      <c r="F113" s="18">
        <v>0</v>
      </c>
      <c r="G113" s="16" t="s">
        <v>106</v>
      </c>
      <c r="H113" s="35"/>
      <c r="I113" s="34"/>
      <c r="J113" s="34"/>
      <c r="K113" s="36"/>
    </row>
    <row r="114" spans="1:11" ht="12.75" x14ac:dyDescent="0.2">
      <c r="A114" s="34"/>
      <c r="B114" s="19"/>
      <c r="C114" s="34"/>
      <c r="D114" s="18"/>
      <c r="E114" s="19"/>
      <c r="F114" s="18">
        <v>1</v>
      </c>
      <c r="G114" s="16" t="s">
        <v>107</v>
      </c>
      <c r="H114" s="35"/>
      <c r="I114" s="34"/>
      <c r="J114" s="34"/>
      <c r="K114" s="36"/>
    </row>
    <row r="115" spans="1:11" ht="12.75" x14ac:dyDescent="0.2">
      <c r="A115" s="34"/>
      <c r="B115" s="19"/>
      <c r="C115" s="34"/>
      <c r="D115" s="18"/>
      <c r="E115" s="19"/>
      <c r="F115" s="18">
        <v>2</v>
      </c>
      <c r="G115" s="16" t="s">
        <v>108</v>
      </c>
      <c r="H115" s="35"/>
      <c r="I115" s="34"/>
      <c r="J115" s="34"/>
      <c r="K115" s="36"/>
    </row>
    <row r="116" spans="1:11" ht="12.75" x14ac:dyDescent="0.2">
      <c r="A116" s="34"/>
      <c r="B116" s="19"/>
      <c r="C116" s="34"/>
      <c r="D116" s="18"/>
      <c r="E116" s="19"/>
      <c r="F116" s="18">
        <v>3</v>
      </c>
      <c r="G116" s="16" t="s">
        <v>109</v>
      </c>
      <c r="H116" s="35"/>
      <c r="I116" s="34"/>
      <c r="J116" s="34"/>
      <c r="K116" s="36"/>
    </row>
    <row r="117" spans="1:11" ht="25.5" x14ac:dyDescent="0.2">
      <c r="A117" s="34"/>
      <c r="B117" s="19"/>
      <c r="C117" s="34"/>
      <c r="D117" s="18"/>
      <c r="E117" s="19"/>
      <c r="F117" s="18"/>
      <c r="G117" s="20" t="s">
        <v>113</v>
      </c>
      <c r="H117" s="35"/>
      <c r="I117" s="34"/>
      <c r="J117" s="34"/>
      <c r="K117" s="36"/>
    </row>
    <row r="118" spans="1:11" ht="25.5" x14ac:dyDescent="0.2">
      <c r="A118" s="37"/>
      <c r="B118" s="19"/>
      <c r="C118" s="34"/>
      <c r="D118" s="17" t="s">
        <v>43</v>
      </c>
      <c r="E118" s="16" t="s">
        <v>114</v>
      </c>
      <c r="F118" s="18"/>
      <c r="G118" s="45"/>
      <c r="H118" s="39"/>
      <c r="I118" s="34">
        <v>2</v>
      </c>
      <c r="J118" s="34"/>
      <c r="K118" s="36">
        <v>0.75</v>
      </c>
    </row>
    <row r="119" spans="1:11" ht="25.5" x14ac:dyDescent="0.2">
      <c r="A119" s="34"/>
      <c r="B119" s="16"/>
      <c r="C119" s="34"/>
      <c r="D119" s="17"/>
      <c r="E119" s="16"/>
      <c r="F119" s="18">
        <v>0</v>
      </c>
      <c r="G119" s="16" t="s">
        <v>115</v>
      </c>
      <c r="H119" s="35"/>
      <c r="I119" s="34"/>
      <c r="J119" s="34"/>
      <c r="K119" s="36"/>
    </row>
    <row r="120" spans="1:11" ht="12.75" x14ac:dyDescent="0.2">
      <c r="A120" s="34"/>
      <c r="B120" s="19"/>
      <c r="C120" s="34"/>
      <c r="D120" s="18"/>
      <c r="E120" s="19"/>
      <c r="F120" s="18">
        <v>1</v>
      </c>
      <c r="G120" s="16" t="s">
        <v>116</v>
      </c>
      <c r="H120" s="35"/>
      <c r="I120" s="34"/>
      <c r="J120" s="34"/>
      <c r="K120" s="36"/>
    </row>
    <row r="121" spans="1:11" ht="12.75" x14ac:dyDescent="0.2">
      <c r="A121" s="34"/>
      <c r="B121" s="19"/>
      <c r="C121" s="34"/>
      <c r="D121" s="18"/>
      <c r="E121" s="19"/>
      <c r="F121" s="18">
        <v>2</v>
      </c>
      <c r="G121" s="16" t="s">
        <v>117</v>
      </c>
      <c r="H121" s="35"/>
      <c r="I121" s="34"/>
      <c r="J121" s="34"/>
      <c r="K121" s="36"/>
    </row>
    <row r="122" spans="1:11" ht="12.75" x14ac:dyDescent="0.2">
      <c r="A122" s="34"/>
      <c r="B122" s="19"/>
      <c r="C122" s="34"/>
      <c r="D122" s="18"/>
      <c r="E122" s="19"/>
      <c r="F122" s="18">
        <v>3</v>
      </c>
      <c r="G122" s="16" t="s">
        <v>118</v>
      </c>
      <c r="H122" s="35"/>
      <c r="I122" s="34"/>
      <c r="J122" s="34"/>
      <c r="K122" s="36"/>
    </row>
    <row r="123" spans="1:11" ht="12.75" x14ac:dyDescent="0.2">
      <c r="A123" s="34" t="s">
        <v>119</v>
      </c>
      <c r="B123" s="35" t="s">
        <v>55</v>
      </c>
      <c r="C123" s="34">
        <v>1</v>
      </c>
      <c r="D123" s="18"/>
      <c r="E123" s="19"/>
      <c r="F123" s="18"/>
      <c r="G123" s="16"/>
      <c r="H123" s="35"/>
      <c r="I123" s="34"/>
      <c r="J123" s="34"/>
      <c r="K123" s="36"/>
    </row>
    <row r="124" spans="1:11" ht="25.5" x14ac:dyDescent="0.2">
      <c r="A124" s="34"/>
      <c r="B124" s="35"/>
      <c r="C124" s="34"/>
      <c r="D124" s="17" t="s">
        <v>43</v>
      </c>
      <c r="E124" s="107" t="s">
        <v>630</v>
      </c>
      <c r="F124" s="18"/>
      <c r="G124" s="16"/>
      <c r="H124" s="35"/>
      <c r="I124" s="34">
        <v>4</v>
      </c>
      <c r="J124" s="34"/>
      <c r="K124" s="36">
        <v>0.8</v>
      </c>
    </row>
    <row r="125" spans="1:11" ht="12.75" x14ac:dyDescent="0.2">
      <c r="A125" s="37"/>
      <c r="B125" s="39"/>
      <c r="C125" s="37"/>
      <c r="D125" s="17"/>
      <c r="E125" s="16"/>
      <c r="F125" s="18">
        <v>0</v>
      </c>
      <c r="G125" s="16" t="s">
        <v>120</v>
      </c>
      <c r="H125" s="39"/>
      <c r="I125" s="37"/>
      <c r="J125" s="37"/>
      <c r="K125" s="40"/>
    </row>
    <row r="126" spans="1:11" ht="12.75" x14ac:dyDescent="0.2">
      <c r="A126" s="34"/>
      <c r="B126" s="19"/>
      <c r="C126" s="34"/>
      <c r="D126" s="18"/>
      <c r="E126" s="19"/>
      <c r="F126" s="18">
        <v>1</v>
      </c>
      <c r="G126" s="16" t="s">
        <v>121</v>
      </c>
      <c r="H126" s="35"/>
      <c r="I126" s="34"/>
      <c r="J126" s="34"/>
      <c r="K126" s="36"/>
    </row>
    <row r="127" spans="1:11" ht="12.75" x14ac:dyDescent="0.2">
      <c r="A127" s="34"/>
      <c r="B127" s="19"/>
      <c r="C127" s="34"/>
      <c r="D127" s="18"/>
      <c r="E127" s="19"/>
      <c r="F127" s="18">
        <v>2</v>
      </c>
      <c r="G127" s="16" t="s">
        <v>122</v>
      </c>
      <c r="H127" s="35"/>
      <c r="I127" s="34"/>
      <c r="J127" s="34"/>
      <c r="K127" s="36"/>
    </row>
    <row r="128" spans="1:11" ht="25.5" x14ac:dyDescent="0.2">
      <c r="A128" s="34"/>
      <c r="B128" s="19"/>
      <c r="C128" s="34"/>
      <c r="D128" s="18"/>
      <c r="E128" s="19"/>
      <c r="F128" s="18">
        <v>3</v>
      </c>
      <c r="G128" s="16" t="s">
        <v>123</v>
      </c>
      <c r="H128" s="35"/>
      <c r="I128" s="34"/>
      <c r="J128" s="34"/>
      <c r="K128" s="36"/>
    </row>
    <row r="129" spans="1:11" ht="25.5" x14ac:dyDescent="0.2">
      <c r="A129" s="34" t="s">
        <v>124</v>
      </c>
      <c r="B129" s="20" t="s">
        <v>125</v>
      </c>
      <c r="C129" s="34">
        <v>1</v>
      </c>
      <c r="D129" s="18"/>
      <c r="E129" s="19"/>
      <c r="F129" s="18"/>
      <c r="G129" s="16"/>
      <c r="H129" s="39"/>
      <c r="I129" s="37"/>
      <c r="J129" s="37"/>
      <c r="K129" s="40"/>
    </row>
    <row r="130" spans="1:11" ht="12.75" x14ac:dyDescent="0.2">
      <c r="A130" s="34"/>
      <c r="B130" s="20"/>
      <c r="C130" s="34"/>
      <c r="D130" s="41" t="s">
        <v>43</v>
      </c>
      <c r="E130" s="106" t="s">
        <v>631</v>
      </c>
      <c r="F130" s="21"/>
      <c r="G130" s="20"/>
      <c r="H130" s="35"/>
      <c r="I130" s="34">
        <v>4</v>
      </c>
      <c r="J130" s="34"/>
      <c r="K130" s="36">
        <v>1.25</v>
      </c>
    </row>
    <row r="131" spans="1:11" ht="38.25" x14ac:dyDescent="0.2">
      <c r="A131" s="37"/>
      <c r="B131" s="45"/>
      <c r="C131" s="37"/>
      <c r="D131" s="108"/>
      <c r="E131" s="109"/>
      <c r="F131" s="21">
        <v>0</v>
      </c>
      <c r="G131" s="20" t="s">
        <v>126</v>
      </c>
      <c r="H131" s="39"/>
      <c r="I131" s="37"/>
      <c r="J131" s="37"/>
      <c r="K131" s="40"/>
    </row>
    <row r="132" spans="1:11" ht="51" x14ac:dyDescent="0.2">
      <c r="A132" s="34"/>
      <c r="B132" s="22"/>
      <c r="C132" s="34"/>
      <c r="D132" s="21"/>
      <c r="E132" s="23"/>
      <c r="F132" s="21">
        <v>1</v>
      </c>
      <c r="G132" s="110" t="s">
        <v>632</v>
      </c>
      <c r="H132" s="35"/>
      <c r="I132" s="34"/>
      <c r="J132" s="34"/>
      <c r="K132" s="36"/>
    </row>
    <row r="133" spans="1:11" ht="25.5" x14ac:dyDescent="0.2">
      <c r="A133" s="34"/>
      <c r="B133" s="22"/>
      <c r="C133" s="34"/>
      <c r="D133" s="21"/>
      <c r="E133" s="43"/>
      <c r="F133" s="21">
        <v>2</v>
      </c>
      <c r="G133" s="20" t="s">
        <v>127</v>
      </c>
      <c r="H133" s="35"/>
      <c r="I133" s="34"/>
      <c r="J133" s="34"/>
      <c r="K133" s="36"/>
    </row>
    <row r="134" spans="1:11" ht="38.25" x14ac:dyDescent="0.2">
      <c r="A134" s="34"/>
      <c r="B134" s="22"/>
      <c r="C134" s="34"/>
      <c r="D134" s="21"/>
      <c r="E134" s="43"/>
      <c r="F134" s="21">
        <v>3</v>
      </c>
      <c r="G134" s="20" t="s">
        <v>128</v>
      </c>
      <c r="H134" s="35"/>
      <c r="I134" s="34"/>
      <c r="J134" s="34"/>
      <c r="K134" s="36"/>
    </row>
    <row r="135" spans="1:11" ht="25.5" x14ac:dyDescent="0.2">
      <c r="A135" s="34" t="s">
        <v>129</v>
      </c>
      <c r="B135" s="20" t="s">
        <v>125</v>
      </c>
      <c r="C135" s="34">
        <v>1</v>
      </c>
      <c r="D135" s="33"/>
      <c r="E135" s="44"/>
      <c r="F135" s="33"/>
      <c r="G135" s="45"/>
      <c r="H135" s="39"/>
      <c r="I135" s="37"/>
      <c r="J135" s="37"/>
      <c r="K135" s="40"/>
    </row>
    <row r="136" spans="1:11" ht="12.75" x14ac:dyDescent="0.2">
      <c r="A136" s="34"/>
      <c r="B136" s="20"/>
      <c r="C136" s="34"/>
      <c r="D136" s="41" t="s">
        <v>43</v>
      </c>
      <c r="E136" s="42" t="s">
        <v>130</v>
      </c>
      <c r="F136" s="21"/>
      <c r="G136" s="20"/>
      <c r="H136" s="35"/>
      <c r="I136" s="34">
        <v>4</v>
      </c>
      <c r="J136" s="34"/>
      <c r="K136" s="36">
        <v>1</v>
      </c>
    </row>
    <row r="137" spans="1:11" ht="38.25" x14ac:dyDescent="0.2">
      <c r="A137" s="37"/>
      <c r="B137" s="45"/>
      <c r="C137" s="37"/>
      <c r="D137" s="108"/>
      <c r="E137" s="111"/>
      <c r="F137" s="21">
        <v>0</v>
      </c>
      <c r="G137" s="20" t="s">
        <v>131</v>
      </c>
      <c r="H137" s="39"/>
      <c r="I137" s="37"/>
      <c r="J137" s="37"/>
      <c r="K137" s="40"/>
    </row>
    <row r="138" spans="1:11" ht="25.5" x14ac:dyDescent="0.2">
      <c r="A138" s="34"/>
      <c r="B138" s="19"/>
      <c r="C138" s="34"/>
      <c r="D138" s="46"/>
      <c r="E138" s="47"/>
      <c r="F138" s="21">
        <v>1</v>
      </c>
      <c r="G138" s="20" t="s">
        <v>132</v>
      </c>
      <c r="H138" s="35"/>
      <c r="I138" s="34"/>
      <c r="J138" s="34"/>
      <c r="K138" s="36"/>
    </row>
    <row r="139" spans="1:11" ht="25.5" x14ac:dyDescent="0.2">
      <c r="A139" s="34"/>
      <c r="B139" s="19"/>
      <c r="C139" s="34"/>
      <c r="D139" s="46"/>
      <c r="E139" s="47"/>
      <c r="F139" s="21">
        <v>2</v>
      </c>
      <c r="G139" s="20" t="s">
        <v>133</v>
      </c>
      <c r="H139" s="35"/>
      <c r="I139" s="34"/>
      <c r="J139" s="34"/>
      <c r="K139" s="36"/>
    </row>
    <row r="140" spans="1:11" ht="51" x14ac:dyDescent="0.2">
      <c r="A140" s="34"/>
      <c r="B140" s="19"/>
      <c r="C140" s="34"/>
      <c r="D140" s="46"/>
      <c r="E140" s="47"/>
      <c r="F140" s="24">
        <v>3</v>
      </c>
      <c r="G140" s="48" t="s">
        <v>134</v>
      </c>
      <c r="H140" s="35"/>
      <c r="I140" s="34"/>
      <c r="J140" s="34"/>
      <c r="K140" s="36"/>
    </row>
    <row r="141" spans="1:11" ht="25.5" x14ac:dyDescent="0.2">
      <c r="A141" s="34" t="s">
        <v>135</v>
      </c>
      <c r="B141" s="20" t="s">
        <v>125</v>
      </c>
      <c r="C141" s="34">
        <v>1</v>
      </c>
      <c r="D141" s="34"/>
      <c r="E141" s="35"/>
      <c r="F141" s="34"/>
      <c r="G141" s="35"/>
      <c r="H141" s="35"/>
      <c r="I141" s="34"/>
      <c r="J141" s="34"/>
      <c r="K141" s="36"/>
    </row>
    <row r="142" spans="1:11" ht="63.75" x14ac:dyDescent="0.2">
      <c r="A142" s="34"/>
      <c r="B142" s="20"/>
      <c r="C142" s="34"/>
      <c r="D142" s="34" t="s">
        <v>67</v>
      </c>
      <c r="E142" s="35" t="s">
        <v>136</v>
      </c>
      <c r="F142" s="34"/>
      <c r="G142" s="35" t="s">
        <v>137</v>
      </c>
      <c r="H142" s="35" t="s">
        <v>69</v>
      </c>
      <c r="I142" s="34">
        <v>2</v>
      </c>
      <c r="J142" s="34"/>
      <c r="K142" s="36">
        <v>0.25</v>
      </c>
    </row>
    <row r="143" spans="1:11" ht="38.25" x14ac:dyDescent="0.2">
      <c r="A143" s="34"/>
      <c r="B143" s="35"/>
      <c r="C143" s="34"/>
      <c r="D143" s="34" t="s">
        <v>67</v>
      </c>
      <c r="E143" s="35" t="s">
        <v>138</v>
      </c>
      <c r="F143" s="34"/>
      <c r="G143" s="35" t="s">
        <v>139</v>
      </c>
      <c r="H143" s="35" t="s">
        <v>69</v>
      </c>
      <c r="I143" s="34">
        <v>5</v>
      </c>
      <c r="J143" s="34"/>
      <c r="K143" s="36">
        <v>0.5</v>
      </c>
    </row>
    <row r="144" spans="1:11" ht="76.5" x14ac:dyDescent="0.2">
      <c r="A144" s="34"/>
      <c r="B144" s="35"/>
      <c r="C144" s="34"/>
      <c r="D144" s="34" t="s">
        <v>67</v>
      </c>
      <c r="E144" s="35" t="s">
        <v>140</v>
      </c>
      <c r="F144" s="34"/>
      <c r="G144" s="35" t="s">
        <v>141</v>
      </c>
      <c r="H144" s="35" t="s">
        <v>69</v>
      </c>
      <c r="I144" s="34">
        <v>2</v>
      </c>
      <c r="J144" s="34"/>
      <c r="K144" s="36">
        <v>0.25</v>
      </c>
    </row>
    <row r="145" spans="1:11" ht="38.25" x14ac:dyDescent="0.2">
      <c r="A145" s="34"/>
      <c r="B145" s="35"/>
      <c r="C145" s="34"/>
      <c r="D145" s="34" t="s">
        <v>67</v>
      </c>
      <c r="E145" s="35" t="s">
        <v>142</v>
      </c>
      <c r="F145" s="34"/>
      <c r="G145" s="35" t="s">
        <v>143</v>
      </c>
      <c r="H145" s="35" t="s">
        <v>69</v>
      </c>
      <c r="I145" s="34">
        <v>5</v>
      </c>
      <c r="J145" s="34"/>
      <c r="K145" s="36">
        <v>0.75</v>
      </c>
    </row>
    <row r="146" spans="1:11" ht="25.5" x14ac:dyDescent="0.2">
      <c r="A146" s="34" t="s">
        <v>144</v>
      </c>
      <c r="B146" s="35" t="s">
        <v>145</v>
      </c>
      <c r="C146" s="34">
        <v>1</v>
      </c>
      <c r="D146" s="37"/>
      <c r="E146" s="39"/>
      <c r="F146" s="37"/>
      <c r="G146" s="39"/>
      <c r="H146" s="39"/>
      <c r="I146" s="37"/>
      <c r="J146" s="37"/>
      <c r="K146" s="40"/>
    </row>
    <row r="147" spans="1:11" ht="51" x14ac:dyDescent="0.2">
      <c r="A147" s="34"/>
      <c r="B147" s="35"/>
      <c r="C147" s="34"/>
      <c r="D147" s="34" t="s">
        <v>67</v>
      </c>
      <c r="E147" s="35" t="s">
        <v>146</v>
      </c>
      <c r="F147" s="34"/>
      <c r="G147" s="35" t="s">
        <v>616</v>
      </c>
      <c r="H147" s="35" t="s">
        <v>69</v>
      </c>
      <c r="I147" s="34">
        <v>5</v>
      </c>
      <c r="J147" s="34"/>
      <c r="K147" s="36">
        <v>0.75</v>
      </c>
    </row>
    <row r="148" spans="1:11" ht="76.5" x14ac:dyDescent="0.2">
      <c r="A148" s="34"/>
      <c r="B148" s="35"/>
      <c r="C148" s="34"/>
      <c r="D148" s="34" t="s">
        <v>67</v>
      </c>
      <c r="E148" s="35" t="s">
        <v>147</v>
      </c>
      <c r="F148" s="34"/>
      <c r="G148" s="35" t="s">
        <v>148</v>
      </c>
      <c r="H148" s="35" t="s">
        <v>69</v>
      </c>
      <c r="I148" s="34">
        <v>5</v>
      </c>
      <c r="J148" s="34"/>
      <c r="K148" s="36">
        <v>1</v>
      </c>
    </row>
    <row r="149" spans="1:11" ht="38.25" x14ac:dyDescent="0.2">
      <c r="A149" s="34"/>
      <c r="B149" s="35"/>
      <c r="C149" s="34"/>
      <c r="D149" s="34" t="s">
        <v>67</v>
      </c>
      <c r="E149" s="35" t="s">
        <v>149</v>
      </c>
      <c r="F149" s="34"/>
      <c r="G149" s="35" t="s">
        <v>150</v>
      </c>
      <c r="H149" s="35" t="s">
        <v>69</v>
      </c>
      <c r="I149" s="34">
        <v>5</v>
      </c>
      <c r="J149" s="34"/>
      <c r="K149" s="36">
        <v>0.5</v>
      </c>
    </row>
    <row r="150" spans="1:11" ht="25.5" x14ac:dyDescent="0.2">
      <c r="A150" s="34" t="s">
        <v>151</v>
      </c>
      <c r="B150" s="35" t="s">
        <v>145</v>
      </c>
      <c r="C150" s="34">
        <v>1</v>
      </c>
      <c r="D150" s="34"/>
      <c r="E150" s="35"/>
      <c r="F150" s="34"/>
      <c r="G150" s="35"/>
      <c r="H150" s="35"/>
      <c r="I150" s="34"/>
      <c r="J150" s="34"/>
      <c r="K150" s="36"/>
    </row>
    <row r="151" spans="1:11" ht="89.25" x14ac:dyDescent="0.2">
      <c r="A151" s="34"/>
      <c r="B151" s="35"/>
      <c r="C151" s="34"/>
      <c r="D151" s="34" t="s">
        <v>67</v>
      </c>
      <c r="E151" s="35" t="s">
        <v>152</v>
      </c>
      <c r="F151" s="34"/>
      <c r="G151" s="35" t="s">
        <v>153</v>
      </c>
      <c r="H151" s="35" t="s">
        <v>69</v>
      </c>
      <c r="I151" s="34">
        <v>2</v>
      </c>
      <c r="J151" s="34"/>
      <c r="K151" s="36">
        <v>0.25</v>
      </c>
    </row>
    <row r="152" spans="1:11" ht="127.5" x14ac:dyDescent="0.2">
      <c r="A152" s="34"/>
      <c r="B152" s="35"/>
      <c r="C152" s="34"/>
      <c r="D152" s="34" t="s">
        <v>67</v>
      </c>
      <c r="E152" s="35" t="s">
        <v>154</v>
      </c>
      <c r="F152" s="34"/>
      <c r="G152" s="35" t="s">
        <v>155</v>
      </c>
      <c r="H152" s="35" t="s">
        <v>69</v>
      </c>
      <c r="I152" s="34">
        <v>2</v>
      </c>
      <c r="J152" s="34"/>
      <c r="K152" s="36">
        <v>0.25</v>
      </c>
    </row>
    <row r="153" spans="1:11" ht="25.5" x14ac:dyDescent="0.2">
      <c r="A153" s="34"/>
      <c r="B153" s="35"/>
      <c r="C153" s="34"/>
      <c r="D153" s="34" t="s">
        <v>67</v>
      </c>
      <c r="E153" s="35" t="s">
        <v>156</v>
      </c>
      <c r="F153" s="34"/>
      <c r="G153" s="35" t="s">
        <v>157</v>
      </c>
      <c r="H153" s="35" t="s">
        <v>69</v>
      </c>
      <c r="I153" s="34">
        <v>5</v>
      </c>
      <c r="J153" s="34"/>
      <c r="K153" s="36">
        <v>0.5</v>
      </c>
    </row>
    <row r="154" spans="1:11" ht="25.5" x14ac:dyDescent="0.2">
      <c r="A154" s="34" t="s">
        <v>158</v>
      </c>
      <c r="B154" s="35" t="s">
        <v>145</v>
      </c>
      <c r="C154" s="37">
        <v>1</v>
      </c>
      <c r="D154" s="37"/>
      <c r="E154" s="39"/>
      <c r="F154" s="37"/>
      <c r="G154" s="39"/>
      <c r="H154" s="39"/>
      <c r="I154" s="37"/>
      <c r="J154" s="37"/>
      <c r="K154" s="40"/>
    </row>
    <row r="155" spans="1:11" ht="25.5" x14ac:dyDescent="0.2">
      <c r="A155" s="34"/>
      <c r="B155" s="35"/>
      <c r="C155" s="34"/>
      <c r="D155" s="34" t="s">
        <v>67</v>
      </c>
      <c r="E155" s="35" t="s">
        <v>159</v>
      </c>
      <c r="F155" s="34"/>
      <c r="G155" s="35" t="s">
        <v>160</v>
      </c>
      <c r="H155" s="35" t="s">
        <v>69</v>
      </c>
      <c r="I155" s="34">
        <v>3</v>
      </c>
      <c r="J155" s="34"/>
      <c r="K155" s="36">
        <v>0.25</v>
      </c>
    </row>
    <row r="156" spans="1:11" ht="25.5" x14ac:dyDescent="0.2">
      <c r="A156" s="34"/>
      <c r="B156" s="35"/>
      <c r="C156" s="34"/>
      <c r="D156" s="34" t="s">
        <v>67</v>
      </c>
      <c r="E156" s="35" t="s">
        <v>161</v>
      </c>
      <c r="F156" s="34"/>
      <c r="G156" s="35" t="s">
        <v>162</v>
      </c>
      <c r="H156" s="35" t="s">
        <v>69</v>
      </c>
      <c r="I156" s="34">
        <v>2</v>
      </c>
      <c r="J156" s="34"/>
      <c r="K156" s="36">
        <v>0.5</v>
      </c>
    </row>
    <row r="157" spans="1:11" ht="25.5" x14ac:dyDescent="0.2">
      <c r="A157" s="34" t="s">
        <v>163</v>
      </c>
      <c r="B157" s="35" t="s">
        <v>145</v>
      </c>
      <c r="C157" s="37">
        <v>1</v>
      </c>
      <c r="D157" s="37"/>
      <c r="E157" s="39"/>
      <c r="F157" s="37"/>
      <c r="G157" s="39"/>
      <c r="H157" s="39"/>
      <c r="I157" s="37"/>
      <c r="J157" s="37"/>
      <c r="K157" s="40"/>
    </row>
    <row r="158" spans="1:11" ht="76.5" x14ac:dyDescent="0.2">
      <c r="A158" s="34"/>
      <c r="B158" s="35"/>
      <c r="C158" s="34"/>
      <c r="D158" s="34" t="s">
        <v>67</v>
      </c>
      <c r="E158" s="35" t="s">
        <v>164</v>
      </c>
      <c r="F158" s="34"/>
      <c r="G158" s="35" t="s">
        <v>165</v>
      </c>
      <c r="H158" s="35" t="s">
        <v>69</v>
      </c>
      <c r="I158" s="34">
        <v>5</v>
      </c>
      <c r="J158" s="34"/>
      <c r="K158" s="36">
        <v>0.75</v>
      </c>
    </row>
    <row r="159" spans="1:11" ht="38.25" x14ac:dyDescent="0.2">
      <c r="A159" s="34"/>
      <c r="B159" s="35"/>
      <c r="C159" s="34"/>
      <c r="D159" s="34" t="s">
        <v>67</v>
      </c>
      <c r="E159" s="105" t="s">
        <v>633</v>
      </c>
      <c r="F159" s="34"/>
      <c r="G159" s="35" t="s">
        <v>166</v>
      </c>
      <c r="H159" s="35" t="s">
        <v>69</v>
      </c>
      <c r="I159" s="34">
        <v>5</v>
      </c>
      <c r="J159" s="34"/>
      <c r="K159" s="36">
        <v>0.5</v>
      </c>
    </row>
    <row r="160" spans="1:11" ht="38.25" x14ac:dyDescent="0.2">
      <c r="A160" s="34"/>
      <c r="B160" s="35"/>
      <c r="C160" s="34"/>
      <c r="D160" s="34" t="s">
        <v>67</v>
      </c>
      <c r="E160" s="35" t="s">
        <v>167</v>
      </c>
      <c r="F160" s="34"/>
      <c r="G160" s="105" t="s">
        <v>634</v>
      </c>
      <c r="H160" s="35" t="s">
        <v>69</v>
      </c>
      <c r="I160" s="34">
        <v>5</v>
      </c>
      <c r="J160" s="34"/>
      <c r="K160" s="36">
        <v>0.75</v>
      </c>
    </row>
    <row r="161" spans="1:11" ht="38.25" x14ac:dyDescent="0.2">
      <c r="A161" s="34"/>
      <c r="B161" s="35"/>
      <c r="C161" s="34"/>
      <c r="D161" s="34" t="s">
        <v>67</v>
      </c>
      <c r="E161" s="35" t="s">
        <v>168</v>
      </c>
      <c r="F161" s="34"/>
      <c r="G161" s="35" t="s">
        <v>169</v>
      </c>
      <c r="H161" s="35" t="s">
        <v>69</v>
      </c>
      <c r="I161" s="34">
        <v>5</v>
      </c>
      <c r="J161" s="34"/>
      <c r="K161" s="36">
        <v>0.5</v>
      </c>
    </row>
    <row r="162" spans="1:11" ht="25.5" x14ac:dyDescent="0.2">
      <c r="A162" s="34"/>
      <c r="B162" s="35"/>
      <c r="C162" s="34"/>
      <c r="D162" s="34" t="s">
        <v>67</v>
      </c>
      <c r="E162" s="35" t="s">
        <v>170</v>
      </c>
      <c r="F162" s="34"/>
      <c r="G162" s="35" t="s">
        <v>171</v>
      </c>
      <c r="H162" s="35" t="s">
        <v>69</v>
      </c>
      <c r="I162" s="34">
        <v>5</v>
      </c>
      <c r="J162" s="34"/>
      <c r="K162" s="36">
        <v>0.5</v>
      </c>
    </row>
    <row r="163" spans="1:11" ht="25.5" x14ac:dyDescent="0.2">
      <c r="A163" s="34" t="s">
        <v>172</v>
      </c>
      <c r="B163" s="35" t="s">
        <v>71</v>
      </c>
      <c r="C163" s="34">
        <v>1</v>
      </c>
      <c r="D163" s="34"/>
      <c r="E163" s="35"/>
      <c r="F163" s="34"/>
      <c r="G163" s="35"/>
      <c r="H163" s="35"/>
      <c r="I163" s="34"/>
      <c r="J163" s="34"/>
      <c r="K163" s="36"/>
    </row>
    <row r="164" spans="1:11" ht="63.75" x14ac:dyDescent="0.2">
      <c r="A164" s="34"/>
      <c r="B164" s="35"/>
      <c r="C164" s="34"/>
      <c r="D164" s="34" t="s">
        <v>67</v>
      </c>
      <c r="E164" s="35" t="s">
        <v>173</v>
      </c>
      <c r="F164" s="34"/>
      <c r="G164" s="35" t="s">
        <v>174</v>
      </c>
      <c r="H164" s="35" t="s">
        <v>69</v>
      </c>
      <c r="I164" s="34">
        <v>1</v>
      </c>
      <c r="J164" s="34"/>
      <c r="K164" s="36">
        <v>0.75</v>
      </c>
    </row>
    <row r="165" spans="1:11" ht="38.25" x14ac:dyDescent="0.2">
      <c r="A165" s="34"/>
      <c r="B165" s="35"/>
      <c r="C165" s="34"/>
      <c r="D165" s="34" t="s">
        <v>67</v>
      </c>
      <c r="E165" s="35" t="s">
        <v>175</v>
      </c>
      <c r="F165" s="34"/>
      <c r="G165" s="35" t="s">
        <v>176</v>
      </c>
      <c r="H165" s="35" t="s">
        <v>69</v>
      </c>
      <c r="I165" s="34">
        <v>1</v>
      </c>
      <c r="J165" s="34"/>
      <c r="K165" s="36">
        <v>0.5</v>
      </c>
    </row>
    <row r="166" spans="1:11" ht="38.25" x14ac:dyDescent="0.2">
      <c r="A166" s="34"/>
      <c r="B166" s="35"/>
      <c r="C166" s="34"/>
      <c r="D166" s="34" t="s">
        <v>67</v>
      </c>
      <c r="E166" s="35" t="s">
        <v>177</v>
      </c>
      <c r="F166" s="34"/>
      <c r="G166" s="35" t="s">
        <v>178</v>
      </c>
      <c r="H166" s="35" t="s">
        <v>69</v>
      </c>
      <c r="I166" s="34">
        <v>1</v>
      </c>
      <c r="J166" s="34"/>
      <c r="K166" s="36">
        <v>0.5</v>
      </c>
    </row>
    <row r="167" spans="1:11" ht="25.5" x14ac:dyDescent="0.2">
      <c r="A167" s="34"/>
      <c r="B167" s="35"/>
      <c r="C167" s="34"/>
      <c r="D167" s="34" t="s">
        <v>67</v>
      </c>
      <c r="E167" s="35" t="s">
        <v>179</v>
      </c>
      <c r="F167" s="34"/>
      <c r="G167" s="35" t="s">
        <v>180</v>
      </c>
      <c r="H167" s="35" t="s">
        <v>69</v>
      </c>
      <c r="I167" s="34">
        <v>5</v>
      </c>
      <c r="J167" s="34"/>
      <c r="K167" s="36">
        <v>0.5</v>
      </c>
    </row>
    <row r="168" spans="1:11" ht="38.25" x14ac:dyDescent="0.2">
      <c r="A168" s="34"/>
      <c r="B168" s="35"/>
      <c r="C168" s="34"/>
      <c r="D168" s="34" t="s">
        <v>67</v>
      </c>
      <c r="E168" s="35" t="s">
        <v>181</v>
      </c>
      <c r="F168" s="34"/>
      <c r="G168" s="35" t="s">
        <v>182</v>
      </c>
      <c r="H168" s="35" t="s">
        <v>69</v>
      </c>
      <c r="I168" s="34">
        <v>5</v>
      </c>
      <c r="J168" s="34"/>
      <c r="K168" s="36">
        <v>0.5</v>
      </c>
    </row>
    <row r="169" spans="1:11" ht="114.75" x14ac:dyDescent="0.2">
      <c r="A169" s="34"/>
      <c r="B169" s="35"/>
      <c r="C169" s="34"/>
      <c r="D169" s="34" t="s">
        <v>67</v>
      </c>
      <c r="E169" s="35" t="s">
        <v>183</v>
      </c>
      <c r="F169" s="34"/>
      <c r="G169" s="35" t="s">
        <v>184</v>
      </c>
      <c r="H169" s="35" t="s">
        <v>69</v>
      </c>
      <c r="I169" s="34">
        <v>2</v>
      </c>
      <c r="J169" s="34"/>
      <c r="K169" s="36">
        <v>0.5</v>
      </c>
    </row>
    <row r="170" spans="1:11" ht="25.5" x14ac:dyDescent="0.2">
      <c r="A170" s="34" t="s">
        <v>185</v>
      </c>
      <c r="B170" s="35" t="s">
        <v>74</v>
      </c>
      <c r="C170" s="34">
        <v>1</v>
      </c>
      <c r="D170" s="34"/>
      <c r="E170" s="35"/>
      <c r="F170" s="34"/>
      <c r="G170" s="35"/>
      <c r="H170" s="35"/>
      <c r="I170" s="34"/>
      <c r="J170" s="34"/>
      <c r="K170" s="36"/>
    </row>
    <row r="171" spans="1:11" ht="51" x14ac:dyDescent="0.2">
      <c r="A171" s="34"/>
      <c r="B171" s="35"/>
      <c r="C171" s="34"/>
      <c r="D171" s="34" t="s">
        <v>67</v>
      </c>
      <c r="E171" s="35" t="s">
        <v>186</v>
      </c>
      <c r="F171" s="34"/>
      <c r="G171" s="35" t="s">
        <v>187</v>
      </c>
      <c r="H171" s="35" t="s">
        <v>69</v>
      </c>
      <c r="I171" s="34">
        <v>5</v>
      </c>
      <c r="J171" s="34"/>
      <c r="K171" s="36">
        <v>0.75</v>
      </c>
    </row>
    <row r="172" spans="1:11" ht="51" x14ac:dyDescent="0.2">
      <c r="A172" s="34"/>
      <c r="B172" s="35"/>
      <c r="C172" s="34"/>
      <c r="D172" s="34" t="s">
        <v>67</v>
      </c>
      <c r="E172" s="35" t="s">
        <v>188</v>
      </c>
      <c r="F172" s="34"/>
      <c r="G172" s="35" t="s">
        <v>189</v>
      </c>
      <c r="H172" s="35" t="s">
        <v>69</v>
      </c>
      <c r="I172" s="34">
        <v>5</v>
      </c>
      <c r="J172" s="34"/>
      <c r="K172" s="36">
        <v>0.75</v>
      </c>
    </row>
    <row r="173" spans="1:11" ht="51" x14ac:dyDescent="0.2">
      <c r="A173" s="34"/>
      <c r="B173" s="35"/>
      <c r="C173" s="34"/>
      <c r="D173" s="34" t="s">
        <v>67</v>
      </c>
      <c r="E173" s="35" t="s">
        <v>190</v>
      </c>
      <c r="F173" s="34"/>
      <c r="G173" s="35" t="s">
        <v>191</v>
      </c>
      <c r="H173" s="35" t="s">
        <v>69</v>
      </c>
      <c r="I173" s="34">
        <v>3</v>
      </c>
      <c r="J173" s="34"/>
      <c r="K173" s="36">
        <v>0.25</v>
      </c>
    </row>
    <row r="174" spans="1:11" ht="63.75" x14ac:dyDescent="0.2">
      <c r="A174" s="34"/>
      <c r="B174" s="35"/>
      <c r="C174" s="34"/>
      <c r="D174" s="34" t="s">
        <v>67</v>
      </c>
      <c r="E174" s="35" t="s">
        <v>192</v>
      </c>
      <c r="F174" s="34"/>
      <c r="G174" s="35" t="s">
        <v>193</v>
      </c>
      <c r="H174" s="35" t="s">
        <v>69</v>
      </c>
      <c r="I174" s="34">
        <v>5</v>
      </c>
      <c r="J174" s="34"/>
      <c r="K174" s="36">
        <v>0.75</v>
      </c>
    </row>
    <row r="175" spans="1:11" ht="25.5" x14ac:dyDescent="0.2">
      <c r="A175" s="34" t="s">
        <v>194</v>
      </c>
      <c r="B175" s="35" t="s">
        <v>195</v>
      </c>
      <c r="C175" s="34">
        <v>1</v>
      </c>
      <c r="D175" s="34"/>
      <c r="E175" s="35"/>
      <c r="F175" s="34"/>
      <c r="G175" s="35"/>
      <c r="H175" s="35"/>
      <c r="I175" s="34"/>
      <c r="J175" s="34"/>
      <c r="K175" s="36"/>
    </row>
    <row r="176" spans="1:11" ht="51" x14ac:dyDescent="0.2">
      <c r="A176" s="34"/>
      <c r="B176" s="35"/>
      <c r="C176" s="34"/>
      <c r="D176" s="34" t="s">
        <v>67</v>
      </c>
      <c r="E176" s="35" t="s">
        <v>196</v>
      </c>
      <c r="F176" s="34"/>
      <c r="G176" s="35" t="s">
        <v>197</v>
      </c>
      <c r="H176" s="35" t="s">
        <v>69</v>
      </c>
      <c r="I176" s="34">
        <v>5</v>
      </c>
      <c r="J176" s="34"/>
      <c r="K176" s="36">
        <v>0.5</v>
      </c>
    </row>
    <row r="177" spans="1:14" ht="51" x14ac:dyDescent="0.2">
      <c r="A177" s="34"/>
      <c r="B177" s="35"/>
      <c r="C177" s="34"/>
      <c r="D177" s="34" t="s">
        <v>67</v>
      </c>
      <c r="E177" s="35" t="s">
        <v>198</v>
      </c>
      <c r="F177" s="34"/>
      <c r="G177" s="35" t="s">
        <v>199</v>
      </c>
      <c r="H177" s="35" t="s">
        <v>69</v>
      </c>
      <c r="I177" s="34">
        <v>3</v>
      </c>
      <c r="J177" s="34"/>
      <c r="K177" s="36">
        <v>0.5</v>
      </c>
    </row>
    <row r="178" spans="1:14" ht="12.75" x14ac:dyDescent="0.2">
      <c r="A178" s="37"/>
      <c r="B178" s="39"/>
      <c r="C178" s="37"/>
      <c r="D178" s="37"/>
      <c r="E178" s="39"/>
      <c r="F178" s="37"/>
      <c r="G178" s="39"/>
      <c r="H178" s="39"/>
      <c r="I178" s="37"/>
      <c r="J178" s="37"/>
      <c r="K178" s="40"/>
    </row>
    <row r="179" spans="1:14" ht="12.75" customHeight="1" x14ac:dyDescent="0.2">
      <c r="A179" s="12" t="s">
        <v>28</v>
      </c>
      <c r="B179" s="12" t="s">
        <v>29</v>
      </c>
      <c r="C179" s="12" t="s">
        <v>30</v>
      </c>
      <c r="D179" s="12" t="s">
        <v>31</v>
      </c>
      <c r="E179" s="12" t="s">
        <v>32</v>
      </c>
      <c r="F179" s="12" t="s">
        <v>33</v>
      </c>
      <c r="G179" s="12" t="s">
        <v>34</v>
      </c>
      <c r="H179" s="12" t="s">
        <v>35</v>
      </c>
      <c r="I179" s="12" t="s">
        <v>36</v>
      </c>
      <c r="J179" s="12" t="s">
        <v>37</v>
      </c>
      <c r="K179" s="12" t="s">
        <v>38</v>
      </c>
      <c r="L179" s="13" t="s">
        <v>200</v>
      </c>
      <c r="M179" s="14" t="s">
        <v>40</v>
      </c>
      <c r="N179" s="15">
        <f>SUM(K180:K395)</f>
        <v>35</v>
      </c>
    </row>
    <row r="180" spans="1:14" ht="51" x14ac:dyDescent="0.2">
      <c r="A180" s="34" t="s">
        <v>201</v>
      </c>
      <c r="B180" s="35" t="s">
        <v>617</v>
      </c>
      <c r="C180" s="34">
        <v>2</v>
      </c>
      <c r="D180" s="34"/>
      <c r="E180" s="35"/>
      <c r="F180" s="34"/>
      <c r="G180" s="49"/>
      <c r="H180" s="35"/>
      <c r="I180" s="34"/>
      <c r="J180" s="34"/>
      <c r="K180" s="36"/>
    </row>
    <row r="181" spans="1:14" ht="51" x14ac:dyDescent="0.2">
      <c r="A181" s="34"/>
      <c r="B181" s="35"/>
      <c r="C181" s="34"/>
      <c r="D181" s="34" t="s">
        <v>43</v>
      </c>
      <c r="E181" s="35" t="s">
        <v>202</v>
      </c>
      <c r="F181" s="34"/>
      <c r="G181" s="49"/>
      <c r="H181" s="35"/>
      <c r="I181" s="34">
        <v>3</v>
      </c>
      <c r="J181" s="34"/>
      <c r="K181" s="36">
        <v>0.75</v>
      </c>
    </row>
    <row r="182" spans="1:14" ht="12.75" x14ac:dyDescent="0.2">
      <c r="A182" s="34"/>
      <c r="B182" s="35"/>
      <c r="C182" s="34"/>
      <c r="D182" s="34"/>
      <c r="E182" s="35"/>
      <c r="F182" s="34">
        <v>0</v>
      </c>
      <c r="G182" s="49" t="s">
        <v>203</v>
      </c>
      <c r="H182" s="35"/>
      <c r="I182" s="34"/>
      <c r="J182" s="34"/>
      <c r="K182" s="36"/>
    </row>
    <row r="183" spans="1:14" ht="25.5" x14ac:dyDescent="0.2">
      <c r="A183" s="34"/>
      <c r="B183" s="35"/>
      <c r="C183" s="34"/>
      <c r="D183" s="34"/>
      <c r="E183" s="35"/>
      <c r="F183" s="34">
        <v>1</v>
      </c>
      <c r="G183" s="49" t="s">
        <v>204</v>
      </c>
      <c r="H183" s="35"/>
      <c r="I183" s="34"/>
      <c r="J183" s="34"/>
      <c r="K183" s="36"/>
    </row>
    <row r="184" spans="1:14" ht="12.75" x14ac:dyDescent="0.2">
      <c r="A184" s="34"/>
      <c r="B184" s="35"/>
      <c r="C184" s="34"/>
      <c r="D184" s="34"/>
      <c r="E184" s="35"/>
      <c r="F184" s="34">
        <v>2</v>
      </c>
      <c r="G184" s="49" t="s">
        <v>205</v>
      </c>
      <c r="H184" s="35"/>
      <c r="I184" s="34"/>
      <c r="J184" s="34"/>
      <c r="K184" s="36"/>
    </row>
    <row r="185" spans="1:14" ht="38.25" x14ac:dyDescent="0.2">
      <c r="A185" s="34"/>
      <c r="B185" s="35"/>
      <c r="C185" s="34"/>
      <c r="D185" s="34"/>
      <c r="E185" s="35"/>
      <c r="F185" s="34">
        <v>3</v>
      </c>
      <c r="G185" s="49" t="s">
        <v>206</v>
      </c>
      <c r="H185" s="35"/>
      <c r="I185" s="34"/>
      <c r="J185" s="34"/>
      <c r="K185" s="36"/>
    </row>
    <row r="186" spans="1:14" ht="25.5" x14ac:dyDescent="0.2">
      <c r="A186" s="34"/>
      <c r="B186" s="35"/>
      <c r="C186" s="34"/>
      <c r="D186" s="34" t="s">
        <v>43</v>
      </c>
      <c r="E186" s="35" t="s">
        <v>207</v>
      </c>
      <c r="F186" s="34"/>
      <c r="G186" s="49"/>
      <c r="H186" s="35"/>
      <c r="I186" s="34">
        <v>4</v>
      </c>
      <c r="J186" s="34"/>
      <c r="K186" s="36">
        <v>0.75</v>
      </c>
    </row>
    <row r="187" spans="1:14" ht="12.75" x14ac:dyDescent="0.2">
      <c r="A187" s="34"/>
      <c r="B187" s="35"/>
      <c r="C187" s="34"/>
      <c r="D187" s="34"/>
      <c r="E187" s="35"/>
      <c r="F187" s="34">
        <v>0</v>
      </c>
      <c r="G187" s="49" t="s">
        <v>208</v>
      </c>
      <c r="H187" s="35"/>
      <c r="I187" s="34"/>
      <c r="J187" s="34"/>
      <c r="K187" s="36"/>
    </row>
    <row r="188" spans="1:14" ht="25.5" x14ac:dyDescent="0.2">
      <c r="A188" s="34"/>
      <c r="B188" s="35"/>
      <c r="C188" s="34"/>
      <c r="D188" s="34"/>
      <c r="E188" s="35"/>
      <c r="F188" s="34">
        <v>1</v>
      </c>
      <c r="G188" s="49" t="s">
        <v>209</v>
      </c>
      <c r="H188" s="35"/>
      <c r="I188" s="34"/>
      <c r="J188" s="34"/>
      <c r="K188" s="36"/>
    </row>
    <row r="189" spans="1:14" ht="25.5" x14ac:dyDescent="0.2">
      <c r="A189" s="34"/>
      <c r="B189" s="35"/>
      <c r="C189" s="34"/>
      <c r="D189" s="34"/>
      <c r="E189" s="35"/>
      <c r="F189" s="34">
        <v>2</v>
      </c>
      <c r="G189" s="49" t="s">
        <v>210</v>
      </c>
      <c r="H189" s="35"/>
      <c r="I189" s="34"/>
      <c r="J189" s="34"/>
      <c r="K189" s="36"/>
    </row>
    <row r="190" spans="1:14" ht="25.5" x14ac:dyDescent="0.2">
      <c r="A190" s="34"/>
      <c r="B190" s="35"/>
      <c r="C190" s="34"/>
      <c r="D190" s="34"/>
      <c r="E190" s="35"/>
      <c r="F190" s="34">
        <v>3</v>
      </c>
      <c r="G190" s="49" t="s">
        <v>211</v>
      </c>
      <c r="H190" s="35"/>
      <c r="I190" s="34"/>
      <c r="J190" s="34"/>
      <c r="K190" s="36"/>
    </row>
    <row r="191" spans="1:14" ht="25.5" x14ac:dyDescent="0.2">
      <c r="A191" s="34"/>
      <c r="B191" s="35"/>
      <c r="C191" s="34"/>
      <c r="D191" s="34" t="s">
        <v>43</v>
      </c>
      <c r="E191" s="35" t="s">
        <v>212</v>
      </c>
      <c r="F191" s="34"/>
      <c r="G191" s="49"/>
      <c r="H191" s="35"/>
      <c r="I191" s="34">
        <v>4</v>
      </c>
      <c r="J191" s="34"/>
      <c r="K191" s="36">
        <v>0.75</v>
      </c>
    </row>
    <row r="192" spans="1:14" ht="25.5" x14ac:dyDescent="0.2">
      <c r="A192" s="34"/>
      <c r="B192" s="35"/>
      <c r="C192" s="34"/>
      <c r="D192" s="34"/>
      <c r="E192" s="35"/>
      <c r="F192" s="34">
        <v>0</v>
      </c>
      <c r="G192" s="49" t="s">
        <v>213</v>
      </c>
      <c r="H192" s="35"/>
      <c r="I192" s="34"/>
      <c r="J192" s="34"/>
      <c r="K192" s="36"/>
    </row>
    <row r="193" spans="1:11" ht="25.5" x14ac:dyDescent="0.2">
      <c r="A193" s="34"/>
      <c r="B193" s="35"/>
      <c r="C193" s="34"/>
      <c r="D193" s="34"/>
      <c r="E193" s="35"/>
      <c r="F193" s="34">
        <v>1</v>
      </c>
      <c r="G193" s="49" t="s">
        <v>214</v>
      </c>
      <c r="H193" s="35"/>
      <c r="I193" s="34"/>
      <c r="J193" s="34"/>
      <c r="K193" s="36"/>
    </row>
    <row r="194" spans="1:11" ht="25.5" x14ac:dyDescent="0.2">
      <c r="A194" s="34"/>
      <c r="B194" s="35"/>
      <c r="C194" s="34"/>
      <c r="D194" s="34"/>
      <c r="E194" s="35"/>
      <c r="F194" s="34">
        <v>2</v>
      </c>
      <c r="G194" s="49" t="s">
        <v>215</v>
      </c>
      <c r="H194" s="35"/>
      <c r="I194" s="34"/>
      <c r="J194" s="34"/>
      <c r="K194" s="36"/>
    </row>
    <row r="195" spans="1:11" ht="25.5" x14ac:dyDescent="0.2">
      <c r="A195" s="34"/>
      <c r="B195" s="35"/>
      <c r="C195" s="34"/>
      <c r="D195" s="34"/>
      <c r="E195" s="35"/>
      <c r="F195" s="34">
        <v>3</v>
      </c>
      <c r="G195" s="49" t="s">
        <v>216</v>
      </c>
      <c r="H195" s="35"/>
      <c r="I195" s="34"/>
      <c r="J195" s="34"/>
      <c r="K195" s="36"/>
    </row>
    <row r="196" spans="1:11" ht="25.5" x14ac:dyDescent="0.2">
      <c r="A196" s="34"/>
      <c r="B196" s="35"/>
      <c r="C196" s="34"/>
      <c r="D196" s="34" t="s">
        <v>43</v>
      </c>
      <c r="E196" s="35" t="s">
        <v>217</v>
      </c>
      <c r="F196" s="34"/>
      <c r="G196" s="49"/>
      <c r="H196" s="35"/>
      <c r="I196" s="34">
        <v>2</v>
      </c>
      <c r="J196" s="34"/>
      <c r="K196" s="36">
        <v>0.5</v>
      </c>
    </row>
    <row r="197" spans="1:11" ht="38.25" x14ac:dyDescent="0.2">
      <c r="A197" s="34"/>
      <c r="B197" s="35"/>
      <c r="C197" s="34"/>
      <c r="D197" s="34"/>
      <c r="E197" s="35"/>
      <c r="F197" s="34">
        <v>0</v>
      </c>
      <c r="G197" s="49" t="s">
        <v>218</v>
      </c>
      <c r="H197" s="35"/>
      <c r="I197" s="34"/>
      <c r="J197" s="34"/>
      <c r="K197" s="36"/>
    </row>
    <row r="198" spans="1:11" ht="51" x14ac:dyDescent="0.2">
      <c r="A198" s="34"/>
      <c r="B198" s="35"/>
      <c r="C198" s="34"/>
      <c r="D198" s="34"/>
      <c r="E198" s="35"/>
      <c r="F198" s="34">
        <v>1</v>
      </c>
      <c r="G198" s="49" t="s">
        <v>219</v>
      </c>
      <c r="H198" s="35"/>
      <c r="I198" s="34"/>
      <c r="J198" s="34"/>
      <c r="K198" s="36"/>
    </row>
    <row r="199" spans="1:11" ht="38.25" x14ac:dyDescent="0.2">
      <c r="A199" s="34"/>
      <c r="B199" s="35"/>
      <c r="C199" s="34"/>
      <c r="D199" s="34"/>
      <c r="E199" s="35"/>
      <c r="F199" s="34">
        <v>2</v>
      </c>
      <c r="G199" s="49" t="s">
        <v>220</v>
      </c>
      <c r="H199" s="35"/>
      <c r="I199" s="34"/>
      <c r="J199" s="34"/>
      <c r="K199" s="36"/>
    </row>
    <row r="200" spans="1:11" ht="51" x14ac:dyDescent="0.2">
      <c r="A200" s="34"/>
      <c r="B200" s="35"/>
      <c r="C200" s="34"/>
      <c r="D200" s="34"/>
      <c r="E200" s="35"/>
      <c r="F200" s="34">
        <v>3</v>
      </c>
      <c r="G200" s="49" t="s">
        <v>221</v>
      </c>
      <c r="H200" s="35"/>
      <c r="I200" s="34"/>
      <c r="J200" s="34"/>
      <c r="K200" s="36"/>
    </row>
    <row r="201" spans="1:11" ht="63.75" x14ac:dyDescent="0.2">
      <c r="A201" s="34" t="s">
        <v>222</v>
      </c>
      <c r="B201" s="35" t="s">
        <v>618</v>
      </c>
      <c r="C201" s="34">
        <v>2</v>
      </c>
      <c r="D201" s="34"/>
      <c r="E201" s="35"/>
      <c r="F201" s="34"/>
      <c r="G201" s="49"/>
      <c r="H201" s="35"/>
      <c r="I201" s="34"/>
      <c r="J201" s="34"/>
      <c r="K201" s="36"/>
    </row>
    <row r="202" spans="1:11" ht="38.25" x14ac:dyDescent="0.2">
      <c r="A202" s="34"/>
      <c r="B202" s="35"/>
      <c r="C202" s="34"/>
      <c r="D202" s="34" t="s">
        <v>43</v>
      </c>
      <c r="E202" s="35" t="s">
        <v>223</v>
      </c>
      <c r="F202" s="34"/>
      <c r="G202" s="49"/>
      <c r="H202" s="35"/>
      <c r="I202" s="34">
        <v>2</v>
      </c>
      <c r="J202" s="34"/>
      <c r="K202" s="36">
        <v>0.5</v>
      </c>
    </row>
    <row r="203" spans="1:11" ht="12.75" x14ac:dyDescent="0.2">
      <c r="A203" s="34"/>
      <c r="B203" s="35"/>
      <c r="C203" s="34"/>
      <c r="D203" s="34"/>
      <c r="E203" s="35"/>
      <c r="F203" s="34">
        <v>0</v>
      </c>
      <c r="G203" s="49" t="s">
        <v>97</v>
      </c>
      <c r="H203" s="35"/>
      <c r="I203" s="34"/>
      <c r="J203" s="34"/>
      <c r="K203" s="36"/>
    </row>
    <row r="204" spans="1:11" ht="25.5" x14ac:dyDescent="0.2">
      <c r="A204" s="34"/>
      <c r="B204" s="35"/>
      <c r="C204" s="34"/>
      <c r="D204" s="34"/>
      <c r="E204" s="35"/>
      <c r="F204" s="34">
        <v>1</v>
      </c>
      <c r="G204" s="49" t="s">
        <v>224</v>
      </c>
      <c r="H204" s="35"/>
      <c r="I204" s="34"/>
      <c r="J204" s="34"/>
      <c r="K204" s="36"/>
    </row>
    <row r="205" spans="1:11" ht="38.25" x14ac:dyDescent="0.2">
      <c r="A205" s="34"/>
      <c r="B205" s="35"/>
      <c r="C205" s="34"/>
      <c r="D205" s="34"/>
      <c r="E205" s="35"/>
      <c r="F205" s="34">
        <v>2</v>
      </c>
      <c r="G205" s="49" t="s">
        <v>225</v>
      </c>
      <c r="H205" s="35"/>
      <c r="I205" s="34"/>
      <c r="J205" s="34"/>
      <c r="K205" s="36"/>
    </row>
    <row r="206" spans="1:11" ht="38.25" x14ac:dyDescent="0.2">
      <c r="A206" s="34"/>
      <c r="B206" s="35"/>
      <c r="C206" s="34"/>
      <c r="D206" s="34"/>
      <c r="E206" s="35"/>
      <c r="F206" s="34">
        <v>3</v>
      </c>
      <c r="G206" s="49" t="s">
        <v>226</v>
      </c>
      <c r="H206" s="35"/>
      <c r="I206" s="34"/>
      <c r="J206" s="34"/>
      <c r="K206" s="36"/>
    </row>
    <row r="207" spans="1:11" ht="51" x14ac:dyDescent="0.2">
      <c r="A207" s="34"/>
      <c r="B207" s="35"/>
      <c r="C207" s="34"/>
      <c r="D207" s="34" t="s">
        <v>43</v>
      </c>
      <c r="E207" s="35" t="s">
        <v>227</v>
      </c>
      <c r="F207" s="34"/>
      <c r="G207" s="49"/>
      <c r="H207" s="35"/>
      <c r="I207" s="34">
        <v>4</v>
      </c>
      <c r="J207" s="34"/>
      <c r="K207" s="36">
        <v>0.75</v>
      </c>
    </row>
    <row r="208" spans="1:11" ht="12.75" x14ac:dyDescent="0.2">
      <c r="A208" s="34"/>
      <c r="B208" s="35"/>
      <c r="C208" s="34"/>
      <c r="D208" s="34"/>
      <c r="E208" s="35"/>
      <c r="F208" s="34">
        <v>0</v>
      </c>
      <c r="G208" s="49" t="s">
        <v>228</v>
      </c>
      <c r="H208" s="35"/>
      <c r="I208" s="34"/>
      <c r="J208" s="34"/>
      <c r="K208" s="36"/>
    </row>
    <row r="209" spans="1:11" ht="12.75" x14ac:dyDescent="0.2">
      <c r="A209" s="34"/>
      <c r="B209" s="35"/>
      <c r="C209" s="34"/>
      <c r="D209" s="34"/>
      <c r="E209" s="35"/>
      <c r="F209" s="34">
        <v>1</v>
      </c>
      <c r="G209" s="49" t="s">
        <v>229</v>
      </c>
      <c r="H209" s="35"/>
      <c r="I209" s="34"/>
      <c r="J209" s="34"/>
      <c r="K209" s="36"/>
    </row>
    <row r="210" spans="1:11" ht="25.5" x14ac:dyDescent="0.2">
      <c r="A210" s="34"/>
      <c r="B210" s="35"/>
      <c r="C210" s="34"/>
      <c r="D210" s="34"/>
      <c r="E210" s="35"/>
      <c r="F210" s="34">
        <v>2</v>
      </c>
      <c r="G210" s="49" t="s">
        <v>230</v>
      </c>
      <c r="H210" s="35"/>
      <c r="I210" s="34"/>
      <c r="J210" s="34"/>
      <c r="K210" s="36"/>
    </row>
    <row r="211" spans="1:11" ht="51" x14ac:dyDescent="0.2">
      <c r="A211" s="34"/>
      <c r="B211" s="35"/>
      <c r="C211" s="34"/>
      <c r="D211" s="34"/>
      <c r="E211" s="35"/>
      <c r="F211" s="34">
        <v>3</v>
      </c>
      <c r="G211" s="49" t="s">
        <v>231</v>
      </c>
      <c r="H211" s="35"/>
      <c r="I211" s="34"/>
      <c r="J211" s="34"/>
      <c r="K211" s="36"/>
    </row>
    <row r="212" spans="1:11" ht="25.5" x14ac:dyDescent="0.2">
      <c r="A212" s="34"/>
      <c r="B212" s="35"/>
      <c r="C212" s="34"/>
      <c r="D212" s="34" t="s">
        <v>43</v>
      </c>
      <c r="E212" s="35" t="s">
        <v>232</v>
      </c>
      <c r="F212" s="34"/>
      <c r="G212" s="49"/>
      <c r="H212" s="35"/>
      <c r="I212" s="34">
        <v>2</v>
      </c>
      <c r="J212" s="34"/>
      <c r="K212" s="36">
        <v>0.5</v>
      </c>
    </row>
    <row r="213" spans="1:11" ht="25.5" x14ac:dyDescent="0.2">
      <c r="A213" s="34"/>
      <c r="B213" s="35"/>
      <c r="C213" s="34"/>
      <c r="D213" s="34"/>
      <c r="E213" s="35"/>
      <c r="F213" s="34">
        <v>0</v>
      </c>
      <c r="G213" s="49" t="s">
        <v>233</v>
      </c>
      <c r="H213" s="35"/>
      <c r="I213" s="34"/>
      <c r="J213" s="34"/>
      <c r="K213" s="36"/>
    </row>
    <row r="214" spans="1:11" ht="12.75" x14ac:dyDescent="0.2">
      <c r="A214" s="34"/>
      <c r="B214" s="35"/>
      <c r="C214" s="34"/>
      <c r="D214" s="34"/>
      <c r="E214" s="105"/>
      <c r="F214" s="34">
        <v>1</v>
      </c>
      <c r="G214" s="49" t="s">
        <v>116</v>
      </c>
      <c r="H214" s="35"/>
      <c r="I214" s="34"/>
      <c r="J214" s="34"/>
      <c r="K214" s="36"/>
    </row>
    <row r="215" spans="1:11" ht="12.75" customHeight="1" x14ac:dyDescent="0.2">
      <c r="A215" s="34"/>
      <c r="B215" s="35"/>
      <c r="C215" s="34"/>
      <c r="D215" s="34"/>
      <c r="E215" s="35"/>
      <c r="F215" s="34">
        <v>2</v>
      </c>
      <c r="G215" s="49" t="s">
        <v>117</v>
      </c>
      <c r="H215" s="35"/>
      <c r="I215" s="34"/>
      <c r="J215" s="34"/>
      <c r="K215" s="36"/>
    </row>
    <row r="216" spans="1:11" ht="25.5" x14ac:dyDescent="0.2">
      <c r="A216" s="34"/>
      <c r="B216" s="35"/>
      <c r="C216" s="34"/>
      <c r="D216" s="34"/>
      <c r="E216" s="35"/>
      <c r="F216" s="34">
        <v>3</v>
      </c>
      <c r="G216" s="49" t="s">
        <v>234</v>
      </c>
      <c r="H216" s="35"/>
      <c r="I216" s="34"/>
      <c r="J216" s="34"/>
      <c r="K216" s="36"/>
    </row>
    <row r="217" spans="1:11" ht="51" x14ac:dyDescent="0.2">
      <c r="A217" s="34"/>
      <c r="B217" s="35"/>
      <c r="C217" s="34"/>
      <c r="D217" s="34" t="s">
        <v>43</v>
      </c>
      <c r="E217" s="35" t="s">
        <v>235</v>
      </c>
      <c r="F217" s="34"/>
      <c r="G217" s="49"/>
      <c r="H217" s="35"/>
      <c r="I217" s="34">
        <v>1</v>
      </c>
      <c r="J217" s="34"/>
      <c r="K217" s="36">
        <v>0.5</v>
      </c>
    </row>
    <row r="218" spans="1:11" ht="12.75" x14ac:dyDescent="0.2">
      <c r="A218" s="34"/>
      <c r="B218" s="35"/>
      <c r="C218" s="34"/>
      <c r="D218" s="34"/>
      <c r="E218" s="35"/>
      <c r="F218" s="34">
        <v>0</v>
      </c>
      <c r="G218" s="49" t="s">
        <v>236</v>
      </c>
      <c r="H218" s="35"/>
      <c r="I218" s="34"/>
      <c r="J218" s="34"/>
      <c r="K218" s="36"/>
    </row>
    <row r="219" spans="1:11" ht="12.75" x14ac:dyDescent="0.2">
      <c r="A219" s="34"/>
      <c r="B219" s="35"/>
      <c r="C219" s="34"/>
      <c r="D219" s="34"/>
      <c r="E219" s="35"/>
      <c r="F219" s="34">
        <v>1</v>
      </c>
      <c r="G219" s="49" t="s">
        <v>237</v>
      </c>
      <c r="H219" s="35"/>
      <c r="I219" s="34"/>
      <c r="J219" s="34"/>
      <c r="K219" s="36"/>
    </row>
    <row r="220" spans="1:11" ht="12.75" x14ac:dyDescent="0.2">
      <c r="A220" s="34"/>
      <c r="B220" s="35"/>
      <c r="C220" s="34"/>
      <c r="D220" s="34"/>
      <c r="E220" s="35"/>
      <c r="F220" s="34">
        <v>2</v>
      </c>
      <c r="G220" s="49" t="s">
        <v>238</v>
      </c>
      <c r="H220" s="35"/>
      <c r="I220" s="34"/>
      <c r="J220" s="34"/>
      <c r="K220" s="36"/>
    </row>
    <row r="221" spans="1:11" ht="38.25" x14ac:dyDescent="0.2">
      <c r="A221" s="34"/>
      <c r="B221" s="35"/>
      <c r="C221" s="34"/>
      <c r="D221" s="34"/>
      <c r="E221" s="35"/>
      <c r="F221" s="34">
        <v>3</v>
      </c>
      <c r="G221" s="49" t="s">
        <v>239</v>
      </c>
      <c r="H221" s="35"/>
      <c r="I221" s="34"/>
      <c r="J221" s="34"/>
      <c r="K221" s="36"/>
    </row>
    <row r="222" spans="1:11" ht="25.5" x14ac:dyDescent="0.2">
      <c r="A222" s="34"/>
      <c r="B222" s="35"/>
      <c r="C222" s="34"/>
      <c r="D222" s="34" t="s">
        <v>43</v>
      </c>
      <c r="E222" s="35" t="s">
        <v>240</v>
      </c>
      <c r="F222" s="34"/>
      <c r="G222" s="49"/>
      <c r="H222" s="35"/>
      <c r="I222" s="34">
        <v>5</v>
      </c>
      <c r="J222" s="34"/>
      <c r="K222" s="36">
        <v>0.5</v>
      </c>
    </row>
    <row r="223" spans="1:11" ht="38.25" x14ac:dyDescent="0.2">
      <c r="A223" s="34"/>
      <c r="B223" s="35"/>
      <c r="C223" s="34"/>
      <c r="D223" s="34"/>
      <c r="E223" s="52"/>
      <c r="F223" s="34">
        <v>0</v>
      </c>
      <c r="G223" s="49" t="s">
        <v>241</v>
      </c>
      <c r="H223" s="35"/>
      <c r="I223" s="34"/>
      <c r="J223" s="34"/>
      <c r="K223" s="36"/>
    </row>
    <row r="224" spans="1:11" ht="38.25" x14ac:dyDescent="0.2">
      <c r="A224" s="34"/>
      <c r="B224" s="35"/>
      <c r="C224" s="34"/>
      <c r="D224" s="34"/>
      <c r="E224" s="52"/>
      <c r="F224" s="34">
        <v>1</v>
      </c>
      <c r="G224" s="49" t="s">
        <v>242</v>
      </c>
      <c r="H224" s="35"/>
      <c r="I224" s="34"/>
      <c r="J224" s="34"/>
      <c r="K224" s="36"/>
    </row>
    <row r="225" spans="1:11" ht="38.25" x14ac:dyDescent="0.2">
      <c r="A225" s="34"/>
      <c r="B225" s="35"/>
      <c r="C225" s="34"/>
      <c r="D225" s="34"/>
      <c r="E225" s="52"/>
      <c r="F225" s="34">
        <v>2</v>
      </c>
      <c r="G225" s="49" t="s">
        <v>243</v>
      </c>
      <c r="H225" s="35"/>
      <c r="I225" s="34"/>
      <c r="J225" s="34"/>
      <c r="K225" s="36"/>
    </row>
    <row r="226" spans="1:11" ht="51" x14ac:dyDescent="0.2">
      <c r="A226" s="34"/>
      <c r="B226" s="35"/>
      <c r="C226" s="34"/>
      <c r="D226" s="34"/>
      <c r="E226" s="52"/>
      <c r="F226" s="34">
        <v>3</v>
      </c>
      <c r="G226" s="49" t="s">
        <v>244</v>
      </c>
      <c r="H226" s="35"/>
      <c r="I226" s="34"/>
      <c r="J226" s="34"/>
      <c r="K226" s="36"/>
    </row>
    <row r="227" spans="1:11" ht="38.25" x14ac:dyDescent="0.2">
      <c r="A227" s="34" t="s">
        <v>245</v>
      </c>
      <c r="B227" s="35" t="s">
        <v>619</v>
      </c>
      <c r="C227" s="34">
        <v>2</v>
      </c>
      <c r="D227" s="34"/>
      <c r="E227" s="53"/>
      <c r="F227" s="34"/>
      <c r="G227" s="49"/>
      <c r="H227" s="35"/>
      <c r="I227" s="34"/>
      <c r="J227" s="34"/>
      <c r="K227" s="36"/>
    </row>
    <row r="228" spans="1:11" ht="178.5" x14ac:dyDescent="0.2">
      <c r="A228" s="34"/>
      <c r="B228" s="35"/>
      <c r="C228" s="34"/>
      <c r="D228" s="34" t="s">
        <v>67</v>
      </c>
      <c r="E228" s="53" t="s">
        <v>246</v>
      </c>
      <c r="F228" s="34"/>
      <c r="G228" s="49" t="s">
        <v>247</v>
      </c>
      <c r="H228" s="35" t="s">
        <v>69</v>
      </c>
      <c r="I228" s="34">
        <v>1</v>
      </c>
      <c r="J228" s="34" t="s">
        <v>248</v>
      </c>
      <c r="K228" s="36">
        <v>0.25</v>
      </c>
    </row>
    <row r="229" spans="1:11" ht="127.5" x14ac:dyDescent="0.2">
      <c r="A229" s="34"/>
      <c r="B229" s="35"/>
      <c r="C229" s="34"/>
      <c r="D229" s="34" t="s">
        <v>67</v>
      </c>
      <c r="E229" s="54" t="s">
        <v>249</v>
      </c>
      <c r="F229" s="22"/>
      <c r="G229" s="22" t="s">
        <v>250</v>
      </c>
      <c r="H229" s="35" t="s">
        <v>69</v>
      </c>
      <c r="I229" s="34">
        <v>1</v>
      </c>
      <c r="J229" s="34" t="s">
        <v>248</v>
      </c>
      <c r="K229" s="36">
        <v>0.25</v>
      </c>
    </row>
    <row r="230" spans="1:11" ht="38.25" x14ac:dyDescent="0.2">
      <c r="A230" s="34" t="s">
        <v>251</v>
      </c>
      <c r="B230" s="35" t="s">
        <v>252</v>
      </c>
      <c r="C230" s="34">
        <v>2</v>
      </c>
      <c r="D230" s="34"/>
      <c r="E230" s="54"/>
      <c r="F230" s="34"/>
      <c r="G230" s="49"/>
      <c r="H230" s="35"/>
      <c r="I230" s="34"/>
      <c r="J230" s="34"/>
      <c r="K230" s="36"/>
    </row>
    <row r="231" spans="1:11" ht="38.25" x14ac:dyDescent="0.2">
      <c r="A231" s="34"/>
      <c r="B231" s="35"/>
      <c r="C231" s="34"/>
      <c r="D231" s="34" t="s">
        <v>67</v>
      </c>
      <c r="E231" s="35" t="s">
        <v>253</v>
      </c>
      <c r="F231" s="34"/>
      <c r="G231" s="49" t="s">
        <v>254</v>
      </c>
      <c r="H231" s="35" t="s">
        <v>69</v>
      </c>
      <c r="I231" s="34">
        <v>5</v>
      </c>
      <c r="J231" s="34" t="s">
        <v>248</v>
      </c>
      <c r="K231" s="36">
        <v>0.25</v>
      </c>
    </row>
    <row r="232" spans="1:11" ht="38.25" x14ac:dyDescent="0.2">
      <c r="A232" s="34"/>
      <c r="B232" s="35"/>
      <c r="C232" s="34"/>
      <c r="D232" s="34" t="s">
        <v>67</v>
      </c>
      <c r="E232" s="35" t="s">
        <v>255</v>
      </c>
      <c r="F232" s="22"/>
      <c r="G232" s="49" t="s">
        <v>256</v>
      </c>
      <c r="H232" s="35" t="s">
        <v>69</v>
      </c>
      <c r="I232" s="34">
        <v>5</v>
      </c>
      <c r="J232" s="34" t="s">
        <v>248</v>
      </c>
      <c r="K232" s="36">
        <v>0.25</v>
      </c>
    </row>
    <row r="233" spans="1:11" ht="38.25" x14ac:dyDescent="0.2">
      <c r="A233" s="34"/>
      <c r="B233" s="35"/>
      <c r="C233" s="34"/>
      <c r="D233" s="34" t="s">
        <v>67</v>
      </c>
      <c r="E233" s="54" t="s">
        <v>257</v>
      </c>
      <c r="F233" s="22"/>
      <c r="G233" s="49" t="s">
        <v>258</v>
      </c>
      <c r="H233" s="35" t="s">
        <v>69</v>
      </c>
      <c r="I233" s="34">
        <v>5</v>
      </c>
      <c r="J233" s="34" t="s">
        <v>248</v>
      </c>
      <c r="K233" s="36">
        <v>0.25</v>
      </c>
    </row>
    <row r="234" spans="1:11" ht="25.5" x14ac:dyDescent="0.2">
      <c r="A234" s="34"/>
      <c r="B234" s="35"/>
      <c r="C234" s="34"/>
      <c r="D234" s="34" t="s">
        <v>67</v>
      </c>
      <c r="E234" s="35" t="s">
        <v>259</v>
      </c>
      <c r="F234" s="22"/>
      <c r="G234" s="49" t="s">
        <v>260</v>
      </c>
      <c r="H234" s="35" t="s">
        <v>69</v>
      </c>
      <c r="I234" s="34">
        <v>5</v>
      </c>
      <c r="J234" s="34" t="s">
        <v>248</v>
      </c>
      <c r="K234" s="36">
        <v>0.25</v>
      </c>
    </row>
    <row r="235" spans="1:11" ht="50.45" customHeight="1" x14ac:dyDescent="0.2">
      <c r="A235" s="34"/>
      <c r="B235" s="35"/>
      <c r="C235" s="34"/>
      <c r="D235" s="34" t="s">
        <v>67</v>
      </c>
      <c r="E235" s="35" t="s">
        <v>261</v>
      </c>
      <c r="F235" s="22"/>
      <c r="G235" s="35" t="s">
        <v>262</v>
      </c>
      <c r="H235" s="35" t="s">
        <v>69</v>
      </c>
      <c r="I235" s="34">
        <v>5</v>
      </c>
      <c r="J235" s="34" t="s">
        <v>248</v>
      </c>
      <c r="K235" s="36">
        <v>0.25</v>
      </c>
    </row>
    <row r="236" spans="1:11" ht="25.5" x14ac:dyDescent="0.2">
      <c r="A236" s="34"/>
      <c r="B236" s="35"/>
      <c r="C236" s="34"/>
      <c r="D236" s="34" t="s">
        <v>67</v>
      </c>
      <c r="E236" s="54" t="s">
        <v>263</v>
      </c>
      <c r="F236" s="22"/>
      <c r="G236" s="55" t="s">
        <v>264</v>
      </c>
      <c r="H236" s="35" t="s">
        <v>69</v>
      </c>
      <c r="I236" s="34">
        <v>5</v>
      </c>
      <c r="J236" s="34" t="s">
        <v>248</v>
      </c>
      <c r="K236" s="36">
        <v>0.75</v>
      </c>
    </row>
    <row r="237" spans="1:11" ht="89.25" x14ac:dyDescent="0.2">
      <c r="A237" s="34"/>
      <c r="B237" s="35"/>
      <c r="C237" s="34"/>
      <c r="D237" s="34" t="s">
        <v>67</v>
      </c>
      <c r="E237" s="54" t="s">
        <v>265</v>
      </c>
      <c r="F237" s="22"/>
      <c r="G237" s="22" t="s">
        <v>266</v>
      </c>
      <c r="H237" s="35" t="s">
        <v>69</v>
      </c>
      <c r="I237" s="34">
        <v>5</v>
      </c>
      <c r="J237" s="34" t="s">
        <v>248</v>
      </c>
      <c r="K237" s="36">
        <v>0.5</v>
      </c>
    </row>
    <row r="238" spans="1:11" ht="12.75" x14ac:dyDescent="0.2">
      <c r="A238" s="34"/>
      <c r="B238" s="35"/>
      <c r="C238" s="34"/>
      <c r="D238" s="34" t="s">
        <v>67</v>
      </c>
      <c r="E238" s="54" t="s">
        <v>267</v>
      </c>
      <c r="F238" s="22"/>
      <c r="G238" s="55" t="s">
        <v>268</v>
      </c>
      <c r="H238" s="35" t="s">
        <v>69</v>
      </c>
      <c r="I238" s="34">
        <v>1</v>
      </c>
      <c r="J238" s="34" t="s">
        <v>248</v>
      </c>
      <c r="K238" s="36">
        <v>0.25</v>
      </c>
    </row>
    <row r="239" spans="1:11" ht="38.25" x14ac:dyDescent="0.2">
      <c r="A239" s="34"/>
      <c r="B239" s="35"/>
      <c r="C239" s="34"/>
      <c r="D239" s="34" t="s">
        <v>67</v>
      </c>
      <c r="E239" s="54" t="s">
        <v>269</v>
      </c>
      <c r="F239" s="22"/>
      <c r="G239" s="55" t="s">
        <v>270</v>
      </c>
      <c r="H239" s="35" t="s">
        <v>69</v>
      </c>
      <c r="I239" s="34">
        <v>5</v>
      </c>
      <c r="J239" s="34" t="s">
        <v>248</v>
      </c>
      <c r="K239" s="36">
        <v>0.5</v>
      </c>
    </row>
    <row r="240" spans="1:11" ht="38.25" x14ac:dyDescent="0.2">
      <c r="A240" s="34" t="s">
        <v>271</v>
      </c>
      <c r="B240" s="35" t="s">
        <v>272</v>
      </c>
      <c r="C240" s="34">
        <v>2</v>
      </c>
      <c r="D240" s="34"/>
      <c r="E240" s="54"/>
      <c r="F240" s="22"/>
      <c r="G240" s="55"/>
      <c r="H240" s="35"/>
      <c r="I240" s="34"/>
      <c r="J240" s="34"/>
      <c r="K240" s="36"/>
    </row>
    <row r="241" spans="1:11" ht="12.75" customHeight="1" x14ac:dyDescent="0.2">
      <c r="A241" s="34"/>
      <c r="B241" s="35"/>
      <c r="C241" s="34"/>
      <c r="D241" s="34" t="s">
        <v>67</v>
      </c>
      <c r="E241" s="54" t="s">
        <v>273</v>
      </c>
      <c r="F241" s="22"/>
      <c r="G241" s="55" t="s">
        <v>274</v>
      </c>
      <c r="H241" s="35" t="s">
        <v>69</v>
      </c>
      <c r="I241" s="34">
        <v>5</v>
      </c>
      <c r="J241" s="34" t="s">
        <v>248</v>
      </c>
      <c r="K241" s="36">
        <v>0.25</v>
      </c>
    </row>
    <row r="242" spans="1:11" ht="12.75" customHeight="1" x14ac:dyDescent="0.2">
      <c r="A242" s="34"/>
      <c r="B242" s="35"/>
      <c r="C242" s="34"/>
      <c r="D242" s="34" t="s">
        <v>67</v>
      </c>
      <c r="E242" s="35" t="s">
        <v>275</v>
      </c>
      <c r="F242" s="22"/>
      <c r="G242" s="55" t="s">
        <v>276</v>
      </c>
      <c r="H242" s="35" t="s">
        <v>69</v>
      </c>
      <c r="I242" s="34">
        <v>5</v>
      </c>
      <c r="J242" s="34" t="s">
        <v>248</v>
      </c>
      <c r="K242" s="36">
        <v>0.25</v>
      </c>
    </row>
    <row r="243" spans="1:11" ht="12.75" customHeight="1" x14ac:dyDescent="0.2">
      <c r="A243" s="34"/>
      <c r="B243" s="35"/>
      <c r="C243" s="34"/>
      <c r="D243" s="34" t="s">
        <v>67</v>
      </c>
      <c r="E243" s="54" t="s">
        <v>277</v>
      </c>
      <c r="F243" s="22"/>
      <c r="G243" s="55" t="s">
        <v>278</v>
      </c>
      <c r="H243" s="35" t="s">
        <v>69</v>
      </c>
      <c r="I243" s="34">
        <v>2</v>
      </c>
      <c r="J243" s="34" t="s">
        <v>248</v>
      </c>
      <c r="K243" s="36">
        <v>0.25</v>
      </c>
    </row>
    <row r="244" spans="1:11" ht="38.25" x14ac:dyDescent="0.2">
      <c r="A244" s="34" t="s">
        <v>279</v>
      </c>
      <c r="B244" s="35" t="s">
        <v>280</v>
      </c>
      <c r="C244" s="34">
        <v>2</v>
      </c>
      <c r="D244" s="34"/>
      <c r="E244" s="35"/>
      <c r="F244" s="34"/>
      <c r="G244" s="49"/>
      <c r="H244" s="35"/>
      <c r="I244" s="34"/>
      <c r="J244" s="34"/>
      <c r="K244" s="36"/>
    </row>
    <row r="245" spans="1:11" ht="51" x14ac:dyDescent="0.2">
      <c r="A245" s="34"/>
      <c r="B245" s="35"/>
      <c r="C245" s="34"/>
      <c r="D245" s="34" t="s">
        <v>43</v>
      </c>
      <c r="E245" s="35" t="s">
        <v>281</v>
      </c>
      <c r="F245" s="34"/>
      <c r="G245" s="49"/>
      <c r="H245" s="35"/>
      <c r="I245" s="34">
        <v>4</v>
      </c>
      <c r="J245" s="34"/>
      <c r="K245" s="36">
        <v>0.75</v>
      </c>
    </row>
    <row r="246" spans="1:11" ht="38.25" x14ac:dyDescent="0.2">
      <c r="A246" s="34"/>
      <c r="B246" s="35"/>
      <c r="C246" s="34"/>
      <c r="D246" s="34"/>
      <c r="E246" s="35"/>
      <c r="F246" s="34">
        <v>0</v>
      </c>
      <c r="G246" s="49" t="s">
        <v>282</v>
      </c>
      <c r="H246" s="35"/>
      <c r="I246" s="34"/>
      <c r="J246" s="34"/>
      <c r="K246" s="36"/>
    </row>
    <row r="247" spans="1:11" ht="38.25" x14ac:dyDescent="0.2">
      <c r="A247" s="34"/>
      <c r="B247" s="35"/>
      <c r="C247" s="34"/>
      <c r="D247" s="34"/>
      <c r="E247" s="52"/>
      <c r="F247" s="34">
        <v>1</v>
      </c>
      <c r="G247" s="49" t="s">
        <v>283</v>
      </c>
      <c r="H247" s="35"/>
      <c r="I247" s="34"/>
      <c r="J247" s="34"/>
      <c r="K247" s="36"/>
    </row>
    <row r="248" spans="1:11" ht="25.5" x14ac:dyDescent="0.2">
      <c r="A248" s="34"/>
      <c r="B248" s="35"/>
      <c r="C248" s="34"/>
      <c r="D248" s="34"/>
      <c r="E248" s="52"/>
      <c r="F248" s="34">
        <v>2</v>
      </c>
      <c r="G248" s="49" t="s">
        <v>284</v>
      </c>
      <c r="H248" s="35"/>
      <c r="I248" s="34"/>
      <c r="J248" s="34"/>
      <c r="K248" s="36"/>
    </row>
    <row r="249" spans="1:11" ht="38.25" x14ac:dyDescent="0.2">
      <c r="A249" s="34"/>
      <c r="B249" s="35"/>
      <c r="C249" s="34"/>
      <c r="D249" s="34"/>
      <c r="E249" s="52"/>
      <c r="F249" s="34">
        <v>3</v>
      </c>
      <c r="G249" s="49" t="s">
        <v>285</v>
      </c>
      <c r="H249" s="35"/>
      <c r="I249" s="34"/>
      <c r="J249" s="34"/>
      <c r="K249" s="36"/>
    </row>
    <row r="250" spans="1:11" ht="38.25" x14ac:dyDescent="0.2">
      <c r="A250" s="34"/>
      <c r="B250" s="35"/>
      <c r="C250" s="34"/>
      <c r="D250" s="34" t="s">
        <v>43</v>
      </c>
      <c r="E250" s="35" t="s">
        <v>286</v>
      </c>
      <c r="F250" s="34"/>
      <c r="G250" s="49"/>
      <c r="H250" s="35"/>
      <c r="I250" s="34">
        <v>1</v>
      </c>
      <c r="J250" s="34"/>
      <c r="K250" s="36">
        <v>0.75</v>
      </c>
    </row>
    <row r="251" spans="1:11" ht="12.75" x14ac:dyDescent="0.2">
      <c r="A251" s="34"/>
      <c r="B251" s="35"/>
      <c r="C251" s="34"/>
      <c r="D251" s="34"/>
      <c r="E251" s="35"/>
      <c r="F251" s="34">
        <v>0</v>
      </c>
      <c r="G251" s="49" t="s">
        <v>287</v>
      </c>
      <c r="H251" s="35"/>
      <c r="I251" s="34"/>
      <c r="J251" s="34"/>
      <c r="K251" s="36"/>
    </row>
    <row r="252" spans="1:11" ht="25.5" x14ac:dyDescent="0.2">
      <c r="A252" s="34"/>
      <c r="B252" s="35"/>
      <c r="C252" s="34"/>
      <c r="D252" s="34"/>
      <c r="E252" s="35"/>
      <c r="F252" s="34">
        <v>1</v>
      </c>
      <c r="G252" s="49" t="s">
        <v>288</v>
      </c>
      <c r="H252" s="35"/>
      <c r="I252" s="34"/>
      <c r="J252" s="34"/>
      <c r="K252" s="36"/>
    </row>
    <row r="253" spans="1:11" ht="25.5" x14ac:dyDescent="0.2">
      <c r="A253" s="34"/>
      <c r="B253" s="35"/>
      <c r="C253" s="34"/>
      <c r="D253" s="34"/>
      <c r="E253" s="35"/>
      <c r="F253" s="34">
        <v>2</v>
      </c>
      <c r="G253" s="49" t="s">
        <v>289</v>
      </c>
      <c r="H253" s="35"/>
      <c r="I253" s="34"/>
      <c r="J253" s="34"/>
      <c r="K253" s="36"/>
    </row>
    <row r="254" spans="1:11" ht="38.25" x14ac:dyDescent="0.2">
      <c r="A254" s="34"/>
      <c r="B254" s="35"/>
      <c r="C254" s="34"/>
      <c r="D254" s="34"/>
      <c r="E254" s="52"/>
      <c r="F254" s="34">
        <v>3</v>
      </c>
      <c r="G254" s="49" t="s">
        <v>290</v>
      </c>
      <c r="H254" s="35"/>
      <c r="I254" s="34"/>
      <c r="J254" s="34"/>
      <c r="K254" s="36"/>
    </row>
    <row r="255" spans="1:11" ht="38.25" x14ac:dyDescent="0.2">
      <c r="A255" s="34"/>
      <c r="B255" s="35"/>
      <c r="C255" s="34"/>
      <c r="D255" s="34" t="s">
        <v>43</v>
      </c>
      <c r="E255" s="35" t="s">
        <v>291</v>
      </c>
      <c r="F255" s="34" t="s">
        <v>292</v>
      </c>
      <c r="G255" s="49" t="s">
        <v>292</v>
      </c>
      <c r="H255" s="35"/>
      <c r="I255" s="34">
        <v>4</v>
      </c>
      <c r="J255" s="34"/>
      <c r="K255" s="36">
        <v>0.75</v>
      </c>
    </row>
    <row r="256" spans="1:11" ht="25.5" x14ac:dyDescent="0.2">
      <c r="A256" s="34"/>
      <c r="B256" s="35"/>
      <c r="C256" s="34"/>
      <c r="D256" s="34"/>
      <c r="E256" s="35" t="s">
        <v>292</v>
      </c>
      <c r="F256" s="34">
        <v>0</v>
      </c>
      <c r="G256" s="49" t="s">
        <v>293</v>
      </c>
      <c r="H256" s="35"/>
      <c r="I256" s="34"/>
      <c r="J256" s="34"/>
      <c r="K256" s="36"/>
    </row>
    <row r="257" spans="1:11" ht="38.25" x14ac:dyDescent="0.2">
      <c r="A257" s="34"/>
      <c r="B257" s="35"/>
      <c r="C257" s="34"/>
      <c r="D257" s="34"/>
      <c r="E257" s="35" t="s">
        <v>292</v>
      </c>
      <c r="F257" s="34">
        <v>1</v>
      </c>
      <c r="G257" s="49" t="s">
        <v>294</v>
      </c>
      <c r="H257" s="35"/>
      <c r="I257" s="34"/>
      <c r="J257" s="34"/>
      <c r="K257" s="36"/>
    </row>
    <row r="258" spans="1:11" ht="38.25" x14ac:dyDescent="0.2">
      <c r="A258" s="34"/>
      <c r="B258" s="35"/>
      <c r="C258" s="34"/>
      <c r="D258" s="34"/>
      <c r="E258" s="35" t="s">
        <v>292</v>
      </c>
      <c r="F258" s="34">
        <v>2</v>
      </c>
      <c r="G258" s="49" t="s">
        <v>295</v>
      </c>
      <c r="H258" s="35"/>
      <c r="I258" s="34"/>
      <c r="J258" s="34"/>
      <c r="K258" s="36"/>
    </row>
    <row r="259" spans="1:11" ht="38.25" x14ac:dyDescent="0.2">
      <c r="A259" s="65"/>
      <c r="B259" s="66"/>
      <c r="C259" s="65"/>
      <c r="D259" s="65"/>
      <c r="E259" s="66" t="s">
        <v>292</v>
      </c>
      <c r="F259" s="65">
        <v>3</v>
      </c>
      <c r="G259" s="56" t="s">
        <v>296</v>
      </c>
      <c r="H259" s="66"/>
      <c r="I259" s="65"/>
      <c r="J259" s="65"/>
      <c r="K259" s="67"/>
    </row>
    <row r="260" spans="1:11" ht="63.75" x14ac:dyDescent="0.2">
      <c r="A260" s="34"/>
      <c r="B260" s="35"/>
      <c r="C260" s="34"/>
      <c r="D260" s="34" t="s">
        <v>43</v>
      </c>
      <c r="E260" s="35" t="s">
        <v>297</v>
      </c>
      <c r="F260" s="34"/>
      <c r="G260" s="49"/>
      <c r="H260" s="35"/>
      <c r="I260" s="34">
        <v>4</v>
      </c>
      <c r="J260" s="34"/>
      <c r="K260" s="36">
        <v>0.5</v>
      </c>
    </row>
    <row r="261" spans="1:11" ht="12.75" x14ac:dyDescent="0.2">
      <c r="A261" s="34"/>
      <c r="B261" s="35"/>
      <c r="C261" s="34"/>
      <c r="D261" s="34"/>
      <c r="E261" s="35"/>
      <c r="F261" s="34">
        <v>0</v>
      </c>
      <c r="G261" s="49" t="s">
        <v>298</v>
      </c>
      <c r="H261" s="35"/>
      <c r="I261" s="34"/>
      <c r="J261" s="34"/>
      <c r="K261" s="36"/>
    </row>
    <row r="262" spans="1:11" ht="12.75" x14ac:dyDescent="0.2">
      <c r="A262" s="34"/>
      <c r="B262" s="35"/>
      <c r="C262" s="34"/>
      <c r="D262" s="34"/>
      <c r="E262" s="35"/>
      <c r="F262" s="34">
        <v>1</v>
      </c>
      <c r="G262" s="49" t="s">
        <v>299</v>
      </c>
      <c r="H262" s="35"/>
      <c r="I262" s="34"/>
      <c r="J262" s="34"/>
      <c r="K262" s="36"/>
    </row>
    <row r="263" spans="1:11" ht="25.5" x14ac:dyDescent="0.2">
      <c r="A263" s="34"/>
      <c r="B263" s="35"/>
      <c r="C263" s="34"/>
      <c r="D263" s="34"/>
      <c r="E263" s="35"/>
      <c r="F263" s="34">
        <v>2</v>
      </c>
      <c r="G263" s="49" t="s">
        <v>300</v>
      </c>
      <c r="H263" s="35"/>
      <c r="I263" s="34"/>
      <c r="J263" s="34"/>
      <c r="K263" s="36"/>
    </row>
    <row r="264" spans="1:11" ht="38.25" x14ac:dyDescent="0.2">
      <c r="A264" s="34"/>
      <c r="B264" s="35"/>
      <c r="C264" s="34"/>
      <c r="D264" s="34"/>
      <c r="E264" s="35"/>
      <c r="F264" s="34">
        <v>3</v>
      </c>
      <c r="G264" s="49" t="s">
        <v>301</v>
      </c>
      <c r="H264" s="35"/>
      <c r="I264" s="34"/>
      <c r="J264" s="34"/>
      <c r="K264" s="36"/>
    </row>
    <row r="265" spans="1:11" ht="12.75" x14ac:dyDescent="0.2">
      <c r="A265" s="34" t="s">
        <v>302</v>
      </c>
      <c r="B265" s="35" t="s">
        <v>55</v>
      </c>
      <c r="C265" s="34">
        <v>2</v>
      </c>
      <c r="D265" s="34"/>
      <c r="E265" s="68"/>
      <c r="F265" s="34"/>
      <c r="G265" s="35"/>
      <c r="H265" s="35"/>
      <c r="I265" s="34"/>
      <c r="J265" s="34"/>
      <c r="K265" s="36"/>
    </row>
    <row r="266" spans="1:11" ht="51" x14ac:dyDescent="0.2">
      <c r="A266" s="34"/>
      <c r="B266" s="35"/>
      <c r="C266" s="34"/>
      <c r="D266" s="34" t="s">
        <v>43</v>
      </c>
      <c r="E266" s="35" t="s">
        <v>303</v>
      </c>
      <c r="F266" s="34"/>
      <c r="G266" s="49"/>
      <c r="H266" s="35"/>
      <c r="I266" s="34">
        <v>4</v>
      </c>
      <c r="J266" s="34"/>
      <c r="K266" s="36">
        <v>0.5</v>
      </c>
    </row>
    <row r="267" spans="1:11" ht="25.5" x14ac:dyDescent="0.2">
      <c r="A267" s="34"/>
      <c r="B267" s="35"/>
      <c r="C267" s="34"/>
      <c r="D267" s="34"/>
      <c r="E267" s="35"/>
      <c r="F267" s="34">
        <v>0</v>
      </c>
      <c r="G267" s="49" t="s">
        <v>304</v>
      </c>
      <c r="H267" s="35"/>
      <c r="I267" s="34"/>
      <c r="J267" s="34"/>
      <c r="K267" s="36"/>
    </row>
    <row r="268" spans="1:11" ht="38.25" x14ac:dyDescent="0.2">
      <c r="A268" s="34"/>
      <c r="B268" s="35"/>
      <c r="C268" s="34"/>
      <c r="D268" s="34"/>
      <c r="E268" s="35"/>
      <c r="F268" s="34">
        <v>1</v>
      </c>
      <c r="G268" s="49" t="s">
        <v>305</v>
      </c>
      <c r="H268" s="35"/>
      <c r="I268" s="34"/>
      <c r="J268" s="34"/>
      <c r="K268" s="36"/>
    </row>
    <row r="269" spans="1:11" ht="38.25" x14ac:dyDescent="0.2">
      <c r="A269" s="34"/>
      <c r="B269" s="35"/>
      <c r="C269" s="34"/>
      <c r="D269" s="34"/>
      <c r="E269" s="52"/>
      <c r="F269" s="34">
        <v>2</v>
      </c>
      <c r="G269" s="49" t="s">
        <v>306</v>
      </c>
      <c r="H269" s="35"/>
      <c r="I269" s="34"/>
      <c r="J269" s="34"/>
      <c r="K269" s="36"/>
    </row>
    <row r="270" spans="1:11" ht="25.5" x14ac:dyDescent="0.2">
      <c r="A270" s="34"/>
      <c r="B270" s="35"/>
      <c r="C270" s="34"/>
      <c r="D270" s="34"/>
      <c r="E270" s="52"/>
      <c r="F270" s="34">
        <v>3</v>
      </c>
      <c r="G270" s="49" t="s">
        <v>307</v>
      </c>
      <c r="H270" s="35"/>
      <c r="I270" s="34"/>
      <c r="J270" s="34"/>
      <c r="K270" s="36"/>
    </row>
    <row r="271" spans="1:11" ht="25.5" x14ac:dyDescent="0.2">
      <c r="A271" s="34"/>
      <c r="B271" s="35"/>
      <c r="C271" s="34"/>
      <c r="D271" s="34" t="s">
        <v>43</v>
      </c>
      <c r="E271" s="35" t="s">
        <v>308</v>
      </c>
      <c r="F271" s="34"/>
      <c r="G271" s="49"/>
      <c r="H271" s="35"/>
      <c r="I271" s="34">
        <v>4</v>
      </c>
      <c r="J271" s="34"/>
      <c r="K271" s="36">
        <v>0.75</v>
      </c>
    </row>
    <row r="272" spans="1:11" ht="38.25" x14ac:dyDescent="0.2">
      <c r="A272" s="34"/>
      <c r="B272" s="35"/>
      <c r="C272" s="34"/>
      <c r="D272" s="34"/>
      <c r="E272" s="52"/>
      <c r="F272" s="34">
        <v>0</v>
      </c>
      <c r="G272" s="49" t="s">
        <v>309</v>
      </c>
      <c r="H272" s="35"/>
      <c r="I272" s="34"/>
      <c r="J272" s="34"/>
      <c r="K272" s="36"/>
    </row>
    <row r="273" spans="1:11" ht="63.75" x14ac:dyDescent="0.2">
      <c r="A273" s="34"/>
      <c r="B273" s="35"/>
      <c r="C273" s="34"/>
      <c r="D273" s="34"/>
      <c r="E273" s="52"/>
      <c r="F273" s="34">
        <v>1</v>
      </c>
      <c r="G273" s="49" t="s">
        <v>310</v>
      </c>
      <c r="H273" s="35"/>
      <c r="I273" s="34"/>
      <c r="J273" s="34"/>
      <c r="K273" s="36"/>
    </row>
    <row r="274" spans="1:11" ht="63.75" x14ac:dyDescent="0.2">
      <c r="A274" s="34"/>
      <c r="B274" s="35"/>
      <c r="C274" s="34"/>
      <c r="D274" s="34"/>
      <c r="E274" s="52"/>
      <c r="F274" s="34">
        <v>2</v>
      </c>
      <c r="G274" s="49" t="s">
        <v>311</v>
      </c>
      <c r="H274" s="35"/>
      <c r="I274" s="34"/>
      <c r="J274" s="34"/>
      <c r="K274" s="36"/>
    </row>
    <row r="275" spans="1:11" ht="51" x14ac:dyDescent="0.2">
      <c r="A275" s="34"/>
      <c r="B275" s="35"/>
      <c r="C275" s="34"/>
      <c r="D275" s="34"/>
      <c r="E275" s="35"/>
      <c r="F275" s="34">
        <v>3</v>
      </c>
      <c r="G275" s="49" t="s">
        <v>312</v>
      </c>
      <c r="H275" s="35"/>
      <c r="I275" s="34"/>
      <c r="J275" s="34"/>
      <c r="K275" s="36"/>
    </row>
    <row r="276" spans="1:11" ht="25.5" x14ac:dyDescent="0.2">
      <c r="A276" s="34"/>
      <c r="B276" s="35"/>
      <c r="C276" s="34"/>
      <c r="D276" s="34" t="s">
        <v>43</v>
      </c>
      <c r="E276" s="35" t="s">
        <v>313</v>
      </c>
      <c r="F276" s="34"/>
      <c r="G276" s="49"/>
      <c r="H276" s="35"/>
      <c r="I276" s="34">
        <v>4</v>
      </c>
      <c r="J276" s="34"/>
      <c r="K276" s="36">
        <v>0.75</v>
      </c>
    </row>
    <row r="277" spans="1:11" ht="51" x14ac:dyDescent="0.2">
      <c r="A277" s="34"/>
      <c r="B277" s="35"/>
      <c r="C277" s="34"/>
      <c r="D277" s="34"/>
      <c r="E277" s="52"/>
      <c r="F277" s="34">
        <v>0</v>
      </c>
      <c r="G277" s="49" t="s">
        <v>314</v>
      </c>
      <c r="H277" s="35"/>
      <c r="I277" s="34"/>
      <c r="J277" s="34"/>
      <c r="K277" s="36"/>
    </row>
    <row r="278" spans="1:11" ht="38.25" x14ac:dyDescent="0.2">
      <c r="A278" s="34"/>
      <c r="B278" s="35"/>
      <c r="C278" s="34"/>
      <c r="D278" s="34"/>
      <c r="E278" s="52"/>
      <c r="F278" s="34">
        <v>1</v>
      </c>
      <c r="G278" s="49" t="s">
        <v>315</v>
      </c>
      <c r="H278" s="35"/>
      <c r="I278" s="34"/>
      <c r="J278" s="34"/>
      <c r="K278" s="36"/>
    </row>
    <row r="279" spans="1:11" ht="38.25" x14ac:dyDescent="0.2">
      <c r="A279" s="34"/>
      <c r="B279" s="35"/>
      <c r="C279" s="34"/>
      <c r="D279" s="34"/>
      <c r="E279" s="52"/>
      <c r="F279" s="34">
        <v>2</v>
      </c>
      <c r="G279" s="49" t="s">
        <v>316</v>
      </c>
      <c r="H279" s="35"/>
      <c r="I279" s="34"/>
      <c r="J279" s="34"/>
      <c r="K279" s="36"/>
    </row>
    <row r="280" spans="1:11" ht="38.25" x14ac:dyDescent="0.2">
      <c r="A280" s="34"/>
      <c r="B280" s="35"/>
      <c r="C280" s="34"/>
      <c r="D280" s="34"/>
      <c r="E280" s="52"/>
      <c r="F280" s="34">
        <v>3</v>
      </c>
      <c r="G280" s="49" t="s">
        <v>317</v>
      </c>
      <c r="H280" s="35"/>
      <c r="I280" s="34"/>
      <c r="J280" s="34"/>
      <c r="K280" s="36"/>
    </row>
    <row r="281" spans="1:11" ht="38.25" x14ac:dyDescent="0.2">
      <c r="A281" s="34"/>
      <c r="B281" s="35"/>
      <c r="C281" s="34"/>
      <c r="D281" s="34" t="s">
        <v>43</v>
      </c>
      <c r="E281" s="35" t="s">
        <v>318</v>
      </c>
      <c r="F281" s="34"/>
      <c r="G281" s="49"/>
      <c r="H281" s="35"/>
      <c r="I281" s="34">
        <v>4</v>
      </c>
      <c r="J281" s="34"/>
      <c r="K281" s="36">
        <v>0.75</v>
      </c>
    </row>
    <row r="282" spans="1:11" ht="38.25" x14ac:dyDescent="0.2">
      <c r="A282" s="34"/>
      <c r="B282" s="35"/>
      <c r="C282" s="34"/>
      <c r="D282" s="34"/>
      <c r="E282" s="52"/>
      <c r="F282" s="34">
        <v>0</v>
      </c>
      <c r="G282" s="49" t="s">
        <v>319</v>
      </c>
      <c r="H282" s="35"/>
      <c r="I282" s="34"/>
      <c r="J282" s="34"/>
      <c r="K282" s="36"/>
    </row>
    <row r="283" spans="1:11" ht="51" x14ac:dyDescent="0.2">
      <c r="A283" s="34"/>
      <c r="B283" s="35"/>
      <c r="C283" s="34"/>
      <c r="D283" s="34"/>
      <c r="E283" s="52"/>
      <c r="F283" s="34">
        <v>1</v>
      </c>
      <c r="G283" s="49" t="s">
        <v>320</v>
      </c>
      <c r="H283" s="35"/>
      <c r="I283" s="34"/>
      <c r="J283" s="34"/>
      <c r="K283" s="36"/>
    </row>
    <row r="284" spans="1:11" ht="38.25" x14ac:dyDescent="0.2">
      <c r="A284" s="34"/>
      <c r="B284" s="35"/>
      <c r="C284" s="34"/>
      <c r="D284" s="34"/>
      <c r="E284" s="35"/>
      <c r="F284" s="34">
        <v>2</v>
      </c>
      <c r="G284" s="49" t="s">
        <v>321</v>
      </c>
      <c r="H284" s="35"/>
      <c r="I284" s="34"/>
      <c r="J284" s="34"/>
      <c r="K284" s="36"/>
    </row>
    <row r="285" spans="1:11" ht="51" x14ac:dyDescent="0.2">
      <c r="A285" s="34"/>
      <c r="B285" s="35"/>
      <c r="C285" s="34"/>
      <c r="D285" s="34"/>
      <c r="E285" s="35"/>
      <c r="F285" s="34">
        <v>3</v>
      </c>
      <c r="G285" s="49" t="s">
        <v>322</v>
      </c>
      <c r="H285" s="35"/>
      <c r="I285" s="34"/>
      <c r="J285" s="34"/>
      <c r="K285" s="36"/>
    </row>
    <row r="286" spans="1:11" ht="38.25" x14ac:dyDescent="0.2">
      <c r="A286" s="34" t="s">
        <v>323</v>
      </c>
      <c r="B286" s="35" t="s">
        <v>620</v>
      </c>
      <c r="C286" s="34">
        <v>2</v>
      </c>
      <c r="D286" s="34"/>
      <c r="E286" s="35"/>
      <c r="F286" s="34"/>
      <c r="G286" s="49"/>
      <c r="H286" s="35"/>
      <c r="I286" s="34"/>
      <c r="J286" s="34"/>
      <c r="K286" s="36"/>
    </row>
    <row r="287" spans="1:11" ht="38.25" x14ac:dyDescent="0.2">
      <c r="A287" s="34"/>
      <c r="B287" s="35"/>
      <c r="C287" s="34"/>
      <c r="D287" s="34" t="s">
        <v>43</v>
      </c>
      <c r="E287" s="35" t="s">
        <v>324</v>
      </c>
      <c r="F287" s="34"/>
      <c r="G287" s="49"/>
      <c r="H287" s="35"/>
      <c r="I287" s="34">
        <v>4</v>
      </c>
      <c r="J287" s="34"/>
      <c r="K287" s="36">
        <v>0.25</v>
      </c>
    </row>
    <row r="288" spans="1:11" ht="12.75" x14ac:dyDescent="0.2">
      <c r="A288" s="34"/>
      <c r="B288" s="35"/>
      <c r="C288" s="34"/>
      <c r="D288" s="34"/>
      <c r="E288" s="52"/>
      <c r="F288" s="34">
        <v>0</v>
      </c>
      <c r="G288" s="49" t="s">
        <v>325</v>
      </c>
      <c r="H288" s="35"/>
      <c r="I288" s="34"/>
      <c r="J288" s="34"/>
      <c r="K288" s="36"/>
    </row>
    <row r="289" spans="1:11" ht="12.75" x14ac:dyDescent="0.2">
      <c r="A289" s="34"/>
      <c r="B289" s="35"/>
      <c r="C289" s="34"/>
      <c r="D289" s="34"/>
      <c r="E289" s="35"/>
      <c r="F289" s="34">
        <v>1</v>
      </c>
      <c r="G289" s="49" t="s">
        <v>326</v>
      </c>
      <c r="H289" s="35"/>
      <c r="I289" s="34"/>
      <c r="J289" s="34"/>
      <c r="K289" s="36"/>
    </row>
    <row r="290" spans="1:11" ht="12.75" x14ac:dyDescent="0.2">
      <c r="A290" s="34"/>
      <c r="B290" s="35"/>
      <c r="C290" s="34"/>
      <c r="D290" s="34"/>
      <c r="E290" s="35"/>
      <c r="F290" s="34">
        <v>2</v>
      </c>
      <c r="G290" s="49" t="s">
        <v>327</v>
      </c>
      <c r="H290" s="35"/>
      <c r="I290" s="34"/>
      <c r="J290" s="34"/>
      <c r="K290" s="36"/>
    </row>
    <row r="291" spans="1:11" ht="12.75" x14ac:dyDescent="0.2">
      <c r="A291" s="34"/>
      <c r="B291" s="35"/>
      <c r="C291" s="34"/>
      <c r="D291" s="34"/>
      <c r="E291" s="35"/>
      <c r="F291" s="34">
        <v>3</v>
      </c>
      <c r="G291" s="49" t="s">
        <v>328</v>
      </c>
      <c r="H291" s="35"/>
      <c r="I291" s="34"/>
      <c r="J291" s="34"/>
      <c r="K291" s="36"/>
    </row>
    <row r="292" spans="1:11" ht="38.25" x14ac:dyDescent="0.2">
      <c r="A292" s="34"/>
      <c r="B292" s="35"/>
      <c r="C292" s="34"/>
      <c r="D292" s="34" t="s">
        <v>43</v>
      </c>
      <c r="E292" s="54" t="s">
        <v>329</v>
      </c>
      <c r="F292" s="34"/>
      <c r="G292" s="49"/>
      <c r="H292" s="35"/>
      <c r="I292" s="34">
        <v>4</v>
      </c>
      <c r="J292" s="34"/>
      <c r="K292" s="36">
        <v>0.75</v>
      </c>
    </row>
    <row r="293" spans="1:11" ht="25.5" x14ac:dyDescent="0.2">
      <c r="A293" s="34"/>
      <c r="B293" s="35"/>
      <c r="C293" s="34"/>
      <c r="D293" s="34"/>
      <c r="E293" s="57"/>
      <c r="F293" s="34">
        <v>0</v>
      </c>
      <c r="G293" s="99" t="s">
        <v>635</v>
      </c>
      <c r="H293" s="35"/>
      <c r="I293" s="34"/>
      <c r="J293" s="34"/>
      <c r="K293" s="36"/>
    </row>
    <row r="294" spans="1:11" ht="25.5" x14ac:dyDescent="0.2">
      <c r="A294" s="34"/>
      <c r="B294" s="35"/>
      <c r="C294" s="34"/>
      <c r="D294" s="34"/>
      <c r="E294" s="57"/>
      <c r="F294" s="34">
        <v>1</v>
      </c>
      <c r="G294" s="49" t="s">
        <v>331</v>
      </c>
      <c r="H294" s="35"/>
      <c r="I294" s="34"/>
      <c r="J294" s="34"/>
      <c r="K294" s="36"/>
    </row>
    <row r="295" spans="1:11" ht="25.5" x14ac:dyDescent="0.2">
      <c r="A295" s="34"/>
      <c r="B295" s="35"/>
      <c r="C295" s="34"/>
      <c r="D295" s="34"/>
      <c r="E295" s="57"/>
      <c r="F295" s="34">
        <v>2</v>
      </c>
      <c r="G295" s="49" t="s">
        <v>332</v>
      </c>
      <c r="H295" s="35"/>
      <c r="I295" s="34"/>
      <c r="J295" s="34"/>
      <c r="K295" s="36"/>
    </row>
    <row r="296" spans="1:11" ht="38.25" x14ac:dyDescent="0.2">
      <c r="A296" s="34"/>
      <c r="B296" s="35"/>
      <c r="C296" s="34"/>
      <c r="D296" s="34"/>
      <c r="E296" s="57"/>
      <c r="F296" s="34">
        <v>3</v>
      </c>
      <c r="G296" s="99" t="s">
        <v>636</v>
      </c>
      <c r="H296" s="35"/>
      <c r="I296" s="34"/>
      <c r="J296" s="34"/>
      <c r="K296" s="36"/>
    </row>
    <row r="297" spans="1:11" ht="63.75" x14ac:dyDescent="0.2">
      <c r="A297" s="34" t="s">
        <v>334</v>
      </c>
      <c r="B297" s="35" t="s">
        <v>335</v>
      </c>
      <c r="C297" s="34">
        <v>2</v>
      </c>
      <c r="D297" s="34"/>
      <c r="E297" s="57"/>
      <c r="F297" s="34"/>
      <c r="G297" s="49"/>
      <c r="H297" s="35"/>
      <c r="I297" s="34"/>
      <c r="J297" s="34"/>
      <c r="K297" s="36"/>
    </row>
    <row r="298" spans="1:11" ht="76.5" x14ac:dyDescent="0.2">
      <c r="A298" s="34"/>
      <c r="B298" s="35"/>
      <c r="C298" s="34"/>
      <c r="D298" s="34" t="s">
        <v>43</v>
      </c>
      <c r="E298" s="35" t="s">
        <v>336</v>
      </c>
      <c r="F298" s="34"/>
      <c r="G298" s="49"/>
      <c r="H298" s="35"/>
      <c r="I298" s="34">
        <v>4</v>
      </c>
      <c r="J298" s="34"/>
      <c r="K298" s="36">
        <v>0.5</v>
      </c>
    </row>
    <row r="299" spans="1:11" ht="12.75" x14ac:dyDescent="0.2">
      <c r="A299" s="34"/>
      <c r="B299" s="35"/>
      <c r="C299" s="34"/>
      <c r="D299" s="34"/>
      <c r="E299" s="52"/>
      <c r="F299" s="34">
        <v>0</v>
      </c>
      <c r="G299" s="49" t="s">
        <v>325</v>
      </c>
      <c r="H299" s="35"/>
      <c r="I299" s="34"/>
      <c r="J299" s="34"/>
      <c r="K299" s="36"/>
    </row>
    <row r="300" spans="1:11" ht="12.75" x14ac:dyDescent="0.2">
      <c r="A300" s="34"/>
      <c r="B300" s="35"/>
      <c r="C300" s="34"/>
      <c r="D300" s="34"/>
      <c r="E300" s="35"/>
      <c r="F300" s="34">
        <v>1</v>
      </c>
      <c r="G300" s="49" t="s">
        <v>337</v>
      </c>
      <c r="H300" s="35"/>
      <c r="I300" s="34"/>
      <c r="J300" s="34"/>
      <c r="K300" s="36"/>
    </row>
    <row r="301" spans="1:11" ht="25.5" x14ac:dyDescent="0.2">
      <c r="A301" s="34"/>
      <c r="B301" s="35"/>
      <c r="C301" s="34"/>
      <c r="D301" s="34"/>
      <c r="E301" s="35"/>
      <c r="F301" s="34">
        <v>2</v>
      </c>
      <c r="G301" s="49" t="s">
        <v>338</v>
      </c>
      <c r="H301" s="35"/>
      <c r="I301" s="34"/>
      <c r="J301" s="34"/>
      <c r="K301" s="36"/>
    </row>
    <row r="302" spans="1:11" ht="25.5" x14ac:dyDescent="0.2">
      <c r="A302" s="34"/>
      <c r="B302" s="35"/>
      <c r="C302" s="34"/>
      <c r="D302" s="34"/>
      <c r="E302" s="35"/>
      <c r="F302" s="34">
        <v>3</v>
      </c>
      <c r="G302" s="49" t="s">
        <v>339</v>
      </c>
      <c r="H302" s="35"/>
      <c r="I302" s="34"/>
      <c r="J302" s="34"/>
      <c r="K302" s="36"/>
    </row>
    <row r="303" spans="1:11" ht="25.5" x14ac:dyDescent="0.2">
      <c r="A303" s="34"/>
      <c r="B303" s="35"/>
      <c r="C303" s="34"/>
      <c r="D303" s="34" t="s">
        <v>43</v>
      </c>
      <c r="E303" s="35" t="s">
        <v>340</v>
      </c>
      <c r="F303" s="34" t="s">
        <v>292</v>
      </c>
      <c r="G303" s="49" t="s">
        <v>292</v>
      </c>
      <c r="H303" s="35"/>
      <c r="I303" s="34">
        <v>4</v>
      </c>
      <c r="J303" s="34"/>
      <c r="K303" s="36">
        <v>0.75</v>
      </c>
    </row>
    <row r="304" spans="1:11" ht="38.25" x14ac:dyDescent="0.2">
      <c r="A304" s="34"/>
      <c r="B304" s="35"/>
      <c r="C304" s="34"/>
      <c r="D304" s="34"/>
      <c r="E304" s="35" t="s">
        <v>292</v>
      </c>
      <c r="F304" s="34">
        <v>0</v>
      </c>
      <c r="G304" s="49" t="s">
        <v>341</v>
      </c>
      <c r="H304" s="35"/>
      <c r="I304" s="34"/>
      <c r="J304" s="34"/>
      <c r="K304" s="36"/>
    </row>
    <row r="305" spans="1:11" ht="25.5" x14ac:dyDescent="0.2">
      <c r="A305" s="34"/>
      <c r="B305" s="35"/>
      <c r="C305" s="34"/>
      <c r="D305" s="34"/>
      <c r="E305" s="35" t="s">
        <v>292</v>
      </c>
      <c r="F305" s="34">
        <v>1</v>
      </c>
      <c r="G305" s="49" t="s">
        <v>342</v>
      </c>
      <c r="H305" s="35"/>
      <c r="I305" s="34"/>
      <c r="J305" s="34"/>
      <c r="K305" s="36"/>
    </row>
    <row r="306" spans="1:11" ht="25.5" x14ac:dyDescent="0.2">
      <c r="A306" s="34"/>
      <c r="B306" s="35"/>
      <c r="C306" s="34"/>
      <c r="D306" s="34"/>
      <c r="E306" s="35" t="s">
        <v>292</v>
      </c>
      <c r="F306" s="34">
        <v>2</v>
      </c>
      <c r="G306" s="49" t="s">
        <v>343</v>
      </c>
      <c r="H306" s="35"/>
      <c r="I306" s="34"/>
      <c r="J306" s="34"/>
      <c r="K306" s="36"/>
    </row>
    <row r="307" spans="1:11" ht="38.25" x14ac:dyDescent="0.2">
      <c r="A307" s="34"/>
      <c r="B307" s="35"/>
      <c r="C307" s="34"/>
      <c r="D307" s="34"/>
      <c r="E307" s="35" t="s">
        <v>292</v>
      </c>
      <c r="F307" s="34">
        <v>3</v>
      </c>
      <c r="G307" s="49" t="s">
        <v>344</v>
      </c>
      <c r="H307" s="35"/>
      <c r="I307" s="34"/>
      <c r="J307" s="34"/>
      <c r="K307" s="36"/>
    </row>
    <row r="308" spans="1:11" ht="38.25" x14ac:dyDescent="0.2">
      <c r="A308" s="34"/>
      <c r="B308" s="35"/>
      <c r="C308" s="34"/>
      <c r="D308" s="34" t="s">
        <v>43</v>
      </c>
      <c r="E308" s="54" t="s">
        <v>345</v>
      </c>
      <c r="F308" s="34"/>
      <c r="G308" s="49"/>
      <c r="H308" s="35"/>
      <c r="I308" s="34">
        <v>2</v>
      </c>
      <c r="J308" s="34"/>
      <c r="K308" s="36">
        <v>0.5</v>
      </c>
    </row>
    <row r="309" spans="1:11" ht="38.25" x14ac:dyDescent="0.2">
      <c r="A309" s="34"/>
      <c r="B309" s="35"/>
      <c r="C309" s="34"/>
      <c r="D309" s="34"/>
      <c r="E309" s="57"/>
      <c r="F309" s="34">
        <v>0</v>
      </c>
      <c r="G309" s="49" t="s">
        <v>330</v>
      </c>
      <c r="H309" s="35"/>
      <c r="I309" s="34"/>
      <c r="J309" s="34"/>
      <c r="K309" s="36"/>
    </row>
    <row r="310" spans="1:11" ht="25.5" x14ac:dyDescent="0.2">
      <c r="A310" s="34"/>
      <c r="B310" s="35"/>
      <c r="C310" s="34"/>
      <c r="D310" s="34"/>
      <c r="E310" s="57"/>
      <c r="F310" s="34">
        <v>1</v>
      </c>
      <c r="G310" s="49" t="s">
        <v>331</v>
      </c>
      <c r="H310" s="35"/>
      <c r="I310" s="34"/>
      <c r="J310" s="34"/>
      <c r="K310" s="36"/>
    </row>
    <row r="311" spans="1:11" ht="38.25" x14ac:dyDescent="0.2">
      <c r="A311" s="34"/>
      <c r="B311" s="35"/>
      <c r="C311" s="34"/>
      <c r="D311" s="34"/>
      <c r="E311" s="57"/>
      <c r="F311" s="34">
        <v>2</v>
      </c>
      <c r="G311" s="49" t="s">
        <v>346</v>
      </c>
      <c r="H311" s="35"/>
      <c r="I311" s="34"/>
      <c r="J311" s="34"/>
      <c r="K311" s="36"/>
    </row>
    <row r="312" spans="1:11" ht="38.25" x14ac:dyDescent="0.2">
      <c r="A312" s="34"/>
      <c r="B312" s="35"/>
      <c r="C312" s="34"/>
      <c r="D312" s="34"/>
      <c r="E312" s="57"/>
      <c r="F312" s="34">
        <v>3</v>
      </c>
      <c r="G312" s="49" t="s">
        <v>333</v>
      </c>
      <c r="H312" s="35"/>
      <c r="I312" s="34"/>
      <c r="J312" s="34"/>
      <c r="K312" s="36"/>
    </row>
    <row r="313" spans="1:11" ht="38.25" x14ac:dyDescent="0.2">
      <c r="A313" s="34" t="s">
        <v>347</v>
      </c>
      <c r="B313" s="35" t="s">
        <v>621</v>
      </c>
      <c r="C313" s="34">
        <v>2</v>
      </c>
      <c r="D313" s="34"/>
      <c r="E313" s="54"/>
      <c r="F313" s="34"/>
      <c r="G313" s="49"/>
      <c r="H313" s="35"/>
      <c r="I313" s="34"/>
      <c r="J313" s="34"/>
      <c r="K313" s="36"/>
    </row>
    <row r="314" spans="1:11" ht="25.5" x14ac:dyDescent="0.2">
      <c r="A314" s="34"/>
      <c r="B314" s="35"/>
      <c r="C314" s="34"/>
      <c r="D314" s="34" t="s">
        <v>43</v>
      </c>
      <c r="E314" s="35" t="s">
        <v>348</v>
      </c>
      <c r="F314" s="34"/>
      <c r="G314" s="49"/>
      <c r="H314" s="35"/>
      <c r="I314" s="34">
        <v>4</v>
      </c>
      <c r="J314" s="34"/>
      <c r="K314" s="36">
        <v>0.75</v>
      </c>
    </row>
    <row r="315" spans="1:11" ht="12.75" x14ac:dyDescent="0.2">
      <c r="A315" s="34"/>
      <c r="B315" s="35"/>
      <c r="C315" s="34"/>
      <c r="D315" s="34"/>
      <c r="E315" s="52"/>
      <c r="F315" s="34">
        <v>0</v>
      </c>
      <c r="G315" s="55" t="s">
        <v>349</v>
      </c>
      <c r="H315" s="35"/>
      <c r="I315" s="34"/>
      <c r="J315" s="34"/>
      <c r="K315" s="36"/>
    </row>
    <row r="316" spans="1:11" ht="25.5" x14ac:dyDescent="0.2">
      <c r="A316" s="34"/>
      <c r="B316" s="35"/>
      <c r="C316" s="34"/>
      <c r="D316" s="34"/>
      <c r="E316" s="52"/>
      <c r="F316" s="34">
        <v>1</v>
      </c>
      <c r="G316" s="49" t="s">
        <v>350</v>
      </c>
      <c r="H316" s="35"/>
      <c r="I316" s="34"/>
      <c r="J316" s="34"/>
      <c r="K316" s="36"/>
    </row>
    <row r="317" spans="1:11" ht="12.75" x14ac:dyDescent="0.2">
      <c r="A317" s="34"/>
      <c r="B317" s="35"/>
      <c r="C317" s="34"/>
      <c r="D317" s="34"/>
      <c r="E317" s="35"/>
      <c r="F317" s="34">
        <v>2</v>
      </c>
      <c r="G317" s="49" t="s">
        <v>351</v>
      </c>
      <c r="H317" s="35"/>
      <c r="I317" s="34"/>
      <c r="J317" s="34"/>
      <c r="K317" s="36"/>
    </row>
    <row r="318" spans="1:11" ht="38.25" x14ac:dyDescent="0.2">
      <c r="A318" s="34"/>
      <c r="B318" s="35"/>
      <c r="C318" s="34"/>
      <c r="D318" s="34"/>
      <c r="E318" s="35"/>
      <c r="F318" s="34">
        <v>3</v>
      </c>
      <c r="G318" s="49" t="s">
        <v>352</v>
      </c>
      <c r="H318" s="35"/>
      <c r="I318" s="34"/>
      <c r="J318" s="34"/>
      <c r="K318" s="36"/>
    </row>
    <row r="319" spans="1:11" ht="38.25" x14ac:dyDescent="0.2">
      <c r="A319" s="34"/>
      <c r="B319" s="35"/>
      <c r="C319" s="34"/>
      <c r="D319" s="34" t="s">
        <v>43</v>
      </c>
      <c r="E319" s="54" t="s">
        <v>353</v>
      </c>
      <c r="F319" s="34"/>
      <c r="G319" s="49"/>
      <c r="H319" s="35"/>
      <c r="I319" s="34">
        <v>4</v>
      </c>
      <c r="J319" s="34"/>
      <c r="K319" s="36">
        <v>0.75</v>
      </c>
    </row>
    <row r="320" spans="1:11" ht="25.5" x14ac:dyDescent="0.2">
      <c r="A320" s="34"/>
      <c r="B320" s="35"/>
      <c r="C320" s="34"/>
      <c r="D320" s="34"/>
      <c r="E320" s="57"/>
      <c r="F320" s="34">
        <v>0</v>
      </c>
      <c r="G320" s="49" t="s">
        <v>354</v>
      </c>
      <c r="H320" s="35"/>
      <c r="I320" s="34"/>
      <c r="J320" s="34"/>
      <c r="K320" s="36"/>
    </row>
    <row r="321" spans="1:11" ht="25.5" x14ac:dyDescent="0.2">
      <c r="A321" s="34"/>
      <c r="B321" s="35"/>
      <c r="C321" s="34"/>
      <c r="D321" s="34"/>
      <c r="E321" s="57"/>
      <c r="F321" s="34">
        <v>1</v>
      </c>
      <c r="G321" s="49" t="s">
        <v>355</v>
      </c>
      <c r="H321" s="35"/>
      <c r="I321" s="34"/>
      <c r="J321" s="34"/>
      <c r="K321" s="36"/>
    </row>
    <row r="322" spans="1:11" ht="25.5" x14ac:dyDescent="0.2">
      <c r="A322" s="34"/>
      <c r="B322" s="35"/>
      <c r="C322" s="34"/>
      <c r="D322" s="34"/>
      <c r="E322" s="57"/>
      <c r="F322" s="34">
        <v>2</v>
      </c>
      <c r="G322" s="49" t="s">
        <v>356</v>
      </c>
      <c r="H322" s="35"/>
      <c r="I322" s="34"/>
      <c r="J322" s="34"/>
      <c r="K322" s="36"/>
    </row>
    <row r="323" spans="1:11" ht="25.5" x14ac:dyDescent="0.2">
      <c r="A323" s="34"/>
      <c r="B323" s="35"/>
      <c r="C323" s="34"/>
      <c r="D323" s="34"/>
      <c r="E323" s="57"/>
      <c r="F323" s="34">
        <v>3</v>
      </c>
      <c r="G323" s="49" t="s">
        <v>357</v>
      </c>
      <c r="H323" s="35"/>
      <c r="I323" s="34"/>
      <c r="J323" s="34"/>
      <c r="K323" s="36"/>
    </row>
    <row r="324" spans="1:11" ht="63.75" x14ac:dyDescent="0.2">
      <c r="A324" s="34" t="s">
        <v>358</v>
      </c>
      <c r="B324" s="35" t="s">
        <v>622</v>
      </c>
      <c r="C324" s="34">
        <v>2</v>
      </c>
      <c r="D324" s="34"/>
      <c r="E324" s="68"/>
      <c r="F324" s="34"/>
      <c r="G324" s="35"/>
      <c r="H324" s="35"/>
      <c r="I324" s="34"/>
      <c r="J324" s="34"/>
      <c r="K324" s="36"/>
    </row>
    <row r="325" spans="1:11" ht="76.5" x14ac:dyDescent="0.2">
      <c r="A325" s="34"/>
      <c r="B325" s="35"/>
      <c r="C325" s="34"/>
      <c r="D325" s="34" t="s">
        <v>43</v>
      </c>
      <c r="E325" s="35" t="s">
        <v>359</v>
      </c>
      <c r="F325" s="34"/>
      <c r="G325" s="49"/>
      <c r="H325" s="35"/>
      <c r="I325" s="34">
        <v>1</v>
      </c>
      <c r="J325" s="34"/>
      <c r="K325" s="36">
        <v>0.75</v>
      </c>
    </row>
    <row r="326" spans="1:11" ht="12.75" x14ac:dyDescent="0.2">
      <c r="A326" s="34"/>
      <c r="B326" s="35"/>
      <c r="C326" s="34"/>
      <c r="D326" s="34"/>
      <c r="E326" s="35"/>
      <c r="F326" s="34">
        <v>0</v>
      </c>
      <c r="G326" s="55" t="s">
        <v>360</v>
      </c>
      <c r="H326" s="35"/>
      <c r="I326" s="34"/>
      <c r="J326" s="34"/>
      <c r="K326" s="36"/>
    </row>
    <row r="327" spans="1:11" ht="12.75" x14ac:dyDescent="0.2">
      <c r="A327" s="34"/>
      <c r="B327" s="35"/>
      <c r="C327" s="34"/>
      <c r="D327" s="34"/>
      <c r="E327" s="35"/>
      <c r="F327" s="34">
        <v>1</v>
      </c>
      <c r="G327" s="49" t="s">
        <v>361</v>
      </c>
      <c r="H327" s="35"/>
      <c r="I327" s="34"/>
      <c r="J327" s="34"/>
      <c r="K327" s="36"/>
    </row>
    <row r="328" spans="1:11" ht="12.75" x14ac:dyDescent="0.2">
      <c r="A328" s="34"/>
      <c r="B328" s="35"/>
      <c r="C328" s="34"/>
      <c r="D328" s="34"/>
      <c r="E328" s="35"/>
      <c r="F328" s="34">
        <v>2</v>
      </c>
      <c r="G328" s="49" t="s">
        <v>362</v>
      </c>
      <c r="H328" s="35"/>
      <c r="I328" s="34"/>
      <c r="J328" s="34"/>
      <c r="K328" s="36"/>
    </row>
    <row r="329" spans="1:11" ht="38.25" x14ac:dyDescent="0.2">
      <c r="A329" s="34"/>
      <c r="B329" s="35"/>
      <c r="C329" s="34"/>
      <c r="D329" s="34"/>
      <c r="E329" s="35"/>
      <c r="F329" s="34">
        <v>3</v>
      </c>
      <c r="G329" s="49" t="s">
        <v>363</v>
      </c>
      <c r="H329" s="35"/>
      <c r="I329" s="34"/>
      <c r="J329" s="34"/>
      <c r="K329" s="36"/>
    </row>
    <row r="330" spans="1:11" ht="12.75" x14ac:dyDescent="0.2">
      <c r="A330" s="34"/>
      <c r="B330" s="35"/>
      <c r="C330" s="34"/>
      <c r="D330" s="34"/>
      <c r="E330" s="35"/>
      <c r="F330" s="34"/>
      <c r="G330" s="49"/>
      <c r="H330" s="35"/>
      <c r="I330" s="34"/>
      <c r="J330" s="34"/>
      <c r="K330" s="36"/>
    </row>
    <row r="331" spans="1:11" ht="38.25" x14ac:dyDescent="0.2">
      <c r="A331" s="34"/>
      <c r="B331" s="35"/>
      <c r="C331" s="34"/>
      <c r="D331" s="34" t="s">
        <v>43</v>
      </c>
      <c r="E331" s="35" t="s">
        <v>364</v>
      </c>
      <c r="F331" s="34"/>
      <c r="G331" s="49"/>
      <c r="H331" s="35"/>
      <c r="I331" s="34">
        <v>4</v>
      </c>
      <c r="J331" s="34"/>
      <c r="K331" s="36">
        <v>0.75</v>
      </c>
    </row>
    <row r="332" spans="1:11" ht="25.5" x14ac:dyDescent="0.2">
      <c r="A332" s="34"/>
      <c r="B332" s="35"/>
      <c r="C332" s="34"/>
      <c r="D332" s="34"/>
      <c r="E332" s="35"/>
      <c r="F332" s="34">
        <v>0</v>
      </c>
      <c r="G332" s="49" t="s">
        <v>365</v>
      </c>
      <c r="H332" s="35"/>
      <c r="I332" s="34"/>
      <c r="J332" s="34"/>
      <c r="K332" s="36"/>
    </row>
    <row r="333" spans="1:11" ht="25.5" x14ac:dyDescent="0.2">
      <c r="A333" s="34"/>
      <c r="B333" s="35"/>
      <c r="C333" s="34"/>
      <c r="D333" s="34"/>
      <c r="E333" s="35"/>
      <c r="F333" s="34">
        <v>1</v>
      </c>
      <c r="G333" s="49" t="s">
        <v>366</v>
      </c>
      <c r="H333" s="35"/>
      <c r="I333" s="34"/>
      <c r="J333" s="34"/>
      <c r="K333" s="36"/>
    </row>
    <row r="334" spans="1:11" ht="12.75" x14ac:dyDescent="0.2">
      <c r="A334" s="34"/>
      <c r="B334" s="35"/>
      <c r="C334" s="34"/>
      <c r="D334" s="34"/>
      <c r="E334" s="35"/>
      <c r="F334" s="34">
        <v>2</v>
      </c>
      <c r="G334" s="49" t="s">
        <v>367</v>
      </c>
      <c r="H334" s="35"/>
      <c r="I334" s="34"/>
      <c r="J334" s="34"/>
      <c r="K334" s="36"/>
    </row>
    <row r="335" spans="1:11" ht="38.25" x14ac:dyDescent="0.2">
      <c r="A335" s="34"/>
      <c r="B335" s="35"/>
      <c r="C335" s="34"/>
      <c r="D335" s="34"/>
      <c r="E335" s="35"/>
      <c r="F335" s="34">
        <v>3</v>
      </c>
      <c r="G335" s="49" t="s">
        <v>368</v>
      </c>
      <c r="H335" s="35"/>
      <c r="I335" s="34"/>
      <c r="J335" s="34"/>
      <c r="K335" s="36"/>
    </row>
    <row r="336" spans="1:11" ht="25.5" x14ac:dyDescent="0.2">
      <c r="A336" s="34"/>
      <c r="B336" s="35"/>
      <c r="C336" s="34"/>
      <c r="D336" s="34" t="s">
        <v>43</v>
      </c>
      <c r="E336" s="35" t="s">
        <v>369</v>
      </c>
      <c r="F336" s="34"/>
      <c r="G336" s="49"/>
      <c r="H336" s="35"/>
      <c r="I336" s="34">
        <v>2</v>
      </c>
      <c r="J336" s="34"/>
      <c r="K336" s="36">
        <v>0.5</v>
      </c>
    </row>
    <row r="337" spans="1:11" ht="12.75" x14ac:dyDescent="0.2">
      <c r="A337" s="34"/>
      <c r="B337" s="35"/>
      <c r="C337" s="34"/>
      <c r="D337" s="34"/>
      <c r="E337" s="35"/>
      <c r="F337" s="34">
        <v>0</v>
      </c>
      <c r="G337" s="49" t="s">
        <v>370</v>
      </c>
      <c r="H337" s="35"/>
      <c r="I337" s="34"/>
      <c r="J337" s="34"/>
      <c r="K337" s="36"/>
    </row>
    <row r="338" spans="1:11" ht="25.5" x14ac:dyDescent="0.2">
      <c r="A338" s="34"/>
      <c r="B338" s="35"/>
      <c r="C338" s="34"/>
      <c r="D338" s="34"/>
      <c r="E338" s="35"/>
      <c r="F338" s="34">
        <v>1</v>
      </c>
      <c r="G338" s="99" t="s">
        <v>637</v>
      </c>
      <c r="H338" s="35"/>
      <c r="I338" s="34"/>
      <c r="J338" s="34"/>
      <c r="K338" s="36"/>
    </row>
    <row r="339" spans="1:11" ht="12.75" x14ac:dyDescent="0.2">
      <c r="A339" s="34"/>
      <c r="B339" s="35"/>
      <c r="C339" s="34"/>
      <c r="D339" s="34"/>
      <c r="E339" s="35"/>
      <c r="F339" s="34">
        <v>2</v>
      </c>
      <c r="G339" s="99" t="s">
        <v>638</v>
      </c>
      <c r="H339" s="35"/>
      <c r="I339" s="34"/>
      <c r="J339" s="34"/>
      <c r="K339" s="36"/>
    </row>
    <row r="340" spans="1:11" ht="25.5" x14ac:dyDescent="0.2">
      <c r="A340" s="34"/>
      <c r="B340" s="35"/>
      <c r="C340" s="34"/>
      <c r="D340" s="34"/>
      <c r="E340" s="35"/>
      <c r="F340" s="34">
        <v>3</v>
      </c>
      <c r="G340" s="49" t="s">
        <v>372</v>
      </c>
      <c r="H340" s="35"/>
      <c r="I340" s="34"/>
      <c r="J340" s="34"/>
      <c r="K340" s="36"/>
    </row>
    <row r="341" spans="1:11" ht="63.75" x14ac:dyDescent="0.2">
      <c r="A341" s="34" t="s">
        <v>373</v>
      </c>
      <c r="B341" s="35" t="s">
        <v>622</v>
      </c>
      <c r="C341" s="35">
        <v>2</v>
      </c>
      <c r="D341" s="34"/>
      <c r="E341" s="35"/>
      <c r="F341" s="34"/>
      <c r="G341" s="49"/>
      <c r="H341" s="35"/>
      <c r="I341" s="34"/>
      <c r="J341" s="34"/>
      <c r="K341" s="36"/>
    </row>
    <row r="342" spans="1:11" ht="25.5" x14ac:dyDescent="0.2">
      <c r="A342" s="34"/>
      <c r="B342" s="35"/>
      <c r="C342" s="34"/>
      <c r="D342" s="34" t="s">
        <v>43</v>
      </c>
      <c r="E342" s="35" t="s">
        <v>374</v>
      </c>
      <c r="F342" s="34"/>
      <c r="G342" s="49"/>
      <c r="H342" s="35"/>
      <c r="I342" s="34">
        <v>2</v>
      </c>
      <c r="J342" s="34"/>
      <c r="K342" s="36">
        <v>0.25</v>
      </c>
    </row>
    <row r="343" spans="1:11" ht="12.75" x14ac:dyDescent="0.2">
      <c r="A343" s="34"/>
      <c r="B343" s="35"/>
      <c r="C343" s="34"/>
      <c r="D343" s="34"/>
      <c r="E343" s="52"/>
      <c r="F343" s="34">
        <v>0</v>
      </c>
      <c r="G343" s="55" t="s">
        <v>375</v>
      </c>
      <c r="H343" s="35"/>
      <c r="I343" s="34"/>
      <c r="J343" s="34"/>
      <c r="K343" s="36"/>
    </row>
    <row r="344" spans="1:11" ht="12.75" x14ac:dyDescent="0.2">
      <c r="A344" s="34"/>
      <c r="B344" s="35"/>
      <c r="C344" s="34"/>
      <c r="D344" s="34"/>
      <c r="E344" s="52"/>
      <c r="F344" s="34">
        <v>1</v>
      </c>
      <c r="G344" s="49" t="s">
        <v>376</v>
      </c>
      <c r="H344" s="35"/>
      <c r="I344" s="34"/>
      <c r="J344" s="34"/>
      <c r="K344" s="36"/>
    </row>
    <row r="345" spans="1:11" ht="25.5" x14ac:dyDescent="0.2">
      <c r="A345" s="34"/>
      <c r="B345" s="35"/>
      <c r="C345" s="34"/>
      <c r="D345" s="34"/>
      <c r="E345" s="52"/>
      <c r="F345" s="34">
        <v>2</v>
      </c>
      <c r="G345" s="49" t="s">
        <v>377</v>
      </c>
      <c r="H345" s="35"/>
      <c r="I345" s="34"/>
      <c r="J345" s="34"/>
      <c r="K345" s="36"/>
    </row>
    <row r="346" spans="1:11" ht="25.5" x14ac:dyDescent="0.2">
      <c r="A346" s="34"/>
      <c r="B346" s="35"/>
      <c r="C346" s="34"/>
      <c r="D346" s="34"/>
      <c r="E346" s="35"/>
      <c r="F346" s="34">
        <v>3</v>
      </c>
      <c r="G346" s="49" t="s">
        <v>378</v>
      </c>
      <c r="H346" s="35"/>
      <c r="I346" s="34"/>
      <c r="J346" s="34"/>
      <c r="K346" s="36"/>
    </row>
    <row r="347" spans="1:11" ht="76.5" x14ac:dyDescent="0.2">
      <c r="A347" s="34"/>
      <c r="B347" s="35"/>
      <c r="C347" s="34"/>
      <c r="D347" s="34" t="s">
        <v>43</v>
      </c>
      <c r="E347" s="35" t="s">
        <v>379</v>
      </c>
      <c r="F347" s="34"/>
      <c r="G347" s="49"/>
      <c r="H347" s="35"/>
      <c r="I347" s="34">
        <v>4</v>
      </c>
      <c r="J347" s="34"/>
      <c r="K347" s="36">
        <v>0.75</v>
      </c>
    </row>
    <row r="348" spans="1:11" ht="25.5" x14ac:dyDescent="0.2">
      <c r="A348" s="34"/>
      <c r="B348" s="35"/>
      <c r="C348" s="34"/>
      <c r="D348" s="34"/>
      <c r="E348" s="52"/>
      <c r="F348" s="34">
        <v>0</v>
      </c>
      <c r="G348" s="49" t="s">
        <v>380</v>
      </c>
      <c r="H348" s="35"/>
      <c r="I348" s="34"/>
      <c r="J348" s="34"/>
      <c r="K348" s="36"/>
    </row>
    <row r="349" spans="1:11" ht="25.5" x14ac:dyDescent="0.2">
      <c r="A349" s="34"/>
      <c r="B349" s="35"/>
      <c r="C349" s="34"/>
      <c r="D349" s="34"/>
      <c r="E349" s="52"/>
      <c r="F349" s="34">
        <v>1</v>
      </c>
      <c r="G349" s="49" t="s">
        <v>381</v>
      </c>
      <c r="H349" s="35"/>
      <c r="I349" s="34"/>
      <c r="J349" s="34"/>
      <c r="K349" s="36"/>
    </row>
    <row r="350" spans="1:11" ht="25.5" x14ac:dyDescent="0.2">
      <c r="A350" s="34"/>
      <c r="B350" s="35"/>
      <c r="C350" s="34"/>
      <c r="D350" s="34"/>
      <c r="E350" s="52"/>
      <c r="F350" s="34">
        <v>2</v>
      </c>
      <c r="G350" s="99" t="s">
        <v>639</v>
      </c>
      <c r="H350" s="35"/>
      <c r="I350" s="34"/>
      <c r="J350" s="34"/>
      <c r="K350" s="36"/>
    </row>
    <row r="351" spans="1:11" ht="51" x14ac:dyDescent="0.2">
      <c r="A351" s="34"/>
      <c r="B351" s="35"/>
      <c r="C351" s="34"/>
      <c r="D351" s="34"/>
      <c r="E351" s="52"/>
      <c r="F351" s="34">
        <v>3</v>
      </c>
      <c r="G351" s="99" t="s">
        <v>640</v>
      </c>
      <c r="H351" s="35"/>
      <c r="I351" s="34"/>
      <c r="J351" s="34"/>
      <c r="K351" s="36"/>
    </row>
    <row r="352" spans="1:11" ht="25.5" x14ac:dyDescent="0.2">
      <c r="A352" s="34" t="s">
        <v>382</v>
      </c>
      <c r="B352" s="35" t="s">
        <v>383</v>
      </c>
      <c r="C352" s="34">
        <v>2</v>
      </c>
      <c r="D352" s="34"/>
      <c r="E352" s="53"/>
      <c r="F352" s="34"/>
      <c r="G352" s="49"/>
      <c r="H352" s="35"/>
      <c r="I352" s="34"/>
      <c r="J352" s="34"/>
      <c r="K352" s="36"/>
    </row>
    <row r="353" spans="1:11" ht="114.75" x14ac:dyDescent="0.2">
      <c r="A353" s="34"/>
      <c r="B353" s="35"/>
      <c r="C353" s="34"/>
      <c r="D353" s="34" t="s">
        <v>67</v>
      </c>
      <c r="E353" s="53" t="s">
        <v>384</v>
      </c>
      <c r="F353" s="34"/>
      <c r="G353" s="49" t="s">
        <v>385</v>
      </c>
      <c r="H353" s="35" t="s">
        <v>69</v>
      </c>
      <c r="I353" s="34">
        <v>1</v>
      </c>
      <c r="J353" s="34" t="s">
        <v>248</v>
      </c>
      <c r="K353" s="36">
        <v>0.25</v>
      </c>
    </row>
    <row r="354" spans="1:11" ht="76.5" x14ac:dyDescent="0.2">
      <c r="A354" s="34"/>
      <c r="B354" s="35"/>
      <c r="C354" s="34"/>
      <c r="D354" s="34" t="s">
        <v>67</v>
      </c>
      <c r="E354" s="54" t="s">
        <v>386</v>
      </c>
      <c r="F354" s="58"/>
      <c r="G354" s="55" t="s">
        <v>387</v>
      </c>
      <c r="H354" s="35" t="s">
        <v>69</v>
      </c>
      <c r="I354" s="34">
        <v>1</v>
      </c>
      <c r="J354" s="34" t="s">
        <v>248</v>
      </c>
      <c r="K354" s="36">
        <v>0.25</v>
      </c>
    </row>
    <row r="355" spans="1:11" ht="144" customHeight="1" x14ac:dyDescent="0.2">
      <c r="A355" s="34"/>
      <c r="B355" s="35"/>
      <c r="C355" s="34"/>
      <c r="D355" s="34" t="s">
        <v>67</v>
      </c>
      <c r="E355" s="54" t="s">
        <v>388</v>
      </c>
      <c r="F355" s="22"/>
      <c r="G355" s="55" t="s">
        <v>389</v>
      </c>
      <c r="H355" s="35" t="s">
        <v>69</v>
      </c>
      <c r="I355" s="34">
        <v>5</v>
      </c>
      <c r="J355" s="34" t="s">
        <v>248</v>
      </c>
      <c r="K355" s="36">
        <v>0.25</v>
      </c>
    </row>
    <row r="356" spans="1:11" ht="25.5" x14ac:dyDescent="0.2">
      <c r="A356" s="34" t="s">
        <v>390</v>
      </c>
      <c r="B356" s="35" t="s">
        <v>391</v>
      </c>
      <c r="C356" s="34">
        <v>2</v>
      </c>
      <c r="D356" s="34"/>
      <c r="E356" s="54"/>
      <c r="F356" s="69"/>
      <c r="G356" s="49"/>
      <c r="H356" s="35"/>
      <c r="I356" s="34"/>
      <c r="J356" s="34"/>
      <c r="K356" s="36"/>
    </row>
    <row r="357" spans="1:11" ht="38.25" x14ac:dyDescent="0.2">
      <c r="A357" s="34"/>
      <c r="B357" s="35"/>
      <c r="C357" s="34"/>
      <c r="D357" s="34" t="s">
        <v>67</v>
      </c>
      <c r="E357" s="54" t="s">
        <v>392</v>
      </c>
      <c r="F357" s="22"/>
      <c r="G357" s="105" t="s">
        <v>642</v>
      </c>
      <c r="H357" s="35" t="s">
        <v>69</v>
      </c>
      <c r="I357" s="34">
        <v>5</v>
      </c>
      <c r="J357" s="34" t="s">
        <v>248</v>
      </c>
      <c r="K357" s="36">
        <v>0.25</v>
      </c>
    </row>
    <row r="358" spans="1:11" ht="89.25" x14ac:dyDescent="0.2">
      <c r="A358" s="34"/>
      <c r="B358" s="35"/>
      <c r="C358" s="34"/>
      <c r="D358" s="34" t="s">
        <v>67</v>
      </c>
      <c r="E358" s="54" t="s">
        <v>393</v>
      </c>
      <c r="F358" s="22"/>
      <c r="G358" s="105" t="s">
        <v>641</v>
      </c>
      <c r="H358" s="35" t="s">
        <v>69</v>
      </c>
      <c r="I358" s="34">
        <v>5</v>
      </c>
      <c r="J358" s="34" t="s">
        <v>248</v>
      </c>
      <c r="K358" s="36">
        <v>0.25</v>
      </c>
    </row>
    <row r="359" spans="1:11" ht="38.25" x14ac:dyDescent="0.2">
      <c r="A359" s="34"/>
      <c r="B359" s="35"/>
      <c r="C359" s="34"/>
      <c r="D359" s="34" t="s">
        <v>67</v>
      </c>
      <c r="E359" s="105" t="s">
        <v>643</v>
      </c>
      <c r="F359" s="34"/>
      <c r="G359" s="49" t="s">
        <v>394</v>
      </c>
      <c r="H359" s="35" t="s">
        <v>69</v>
      </c>
      <c r="I359" s="34">
        <v>5</v>
      </c>
      <c r="J359" s="34" t="s">
        <v>248</v>
      </c>
      <c r="K359" s="36">
        <v>0.25</v>
      </c>
    </row>
    <row r="360" spans="1:11" ht="114.75" x14ac:dyDescent="0.2">
      <c r="A360" s="34"/>
      <c r="B360" s="35"/>
      <c r="C360" s="34"/>
      <c r="D360" s="34" t="s">
        <v>67</v>
      </c>
      <c r="E360" s="54" t="s">
        <v>395</v>
      </c>
      <c r="F360" s="22"/>
      <c r="G360" s="49" t="s">
        <v>396</v>
      </c>
      <c r="H360" s="35" t="s">
        <v>69</v>
      </c>
      <c r="I360" s="34">
        <v>5</v>
      </c>
      <c r="J360" s="34" t="s">
        <v>248</v>
      </c>
      <c r="K360" s="36">
        <v>0.5</v>
      </c>
    </row>
    <row r="361" spans="1:11" ht="25.5" x14ac:dyDescent="0.2">
      <c r="A361" s="34" t="s">
        <v>397</v>
      </c>
      <c r="B361" s="35" t="s">
        <v>398</v>
      </c>
      <c r="C361" s="34">
        <v>2</v>
      </c>
      <c r="D361" s="34"/>
      <c r="E361" s="54"/>
      <c r="F361" s="69"/>
      <c r="G361" s="49"/>
      <c r="H361" s="35"/>
      <c r="I361" s="34"/>
      <c r="J361" s="34"/>
      <c r="K361" s="36"/>
    </row>
    <row r="362" spans="1:11" ht="204" x14ac:dyDescent="0.2">
      <c r="A362" s="34"/>
      <c r="B362" s="35"/>
      <c r="C362" s="34"/>
      <c r="D362" s="34" t="s">
        <v>67</v>
      </c>
      <c r="E362" s="54" t="s">
        <v>399</v>
      </c>
      <c r="F362" s="22"/>
      <c r="G362" s="35" t="s">
        <v>400</v>
      </c>
      <c r="H362" s="35" t="s">
        <v>69</v>
      </c>
      <c r="I362" s="34">
        <v>3</v>
      </c>
      <c r="J362" s="34" t="s">
        <v>248</v>
      </c>
      <c r="K362" s="36">
        <v>0.5</v>
      </c>
    </row>
    <row r="363" spans="1:11" ht="38.25" x14ac:dyDescent="0.2">
      <c r="A363" s="34" t="s">
        <v>401</v>
      </c>
      <c r="B363" s="105" t="s">
        <v>623</v>
      </c>
      <c r="C363" s="34">
        <v>2</v>
      </c>
      <c r="D363" s="68"/>
      <c r="E363" s="68"/>
      <c r="F363" s="68"/>
      <c r="G363" s="68"/>
      <c r="H363" s="68"/>
      <c r="I363" s="68"/>
      <c r="J363" s="68"/>
      <c r="K363" s="68"/>
    </row>
    <row r="364" spans="1:11" ht="102" x14ac:dyDescent="0.2">
      <c r="A364" s="34"/>
      <c r="B364" s="35"/>
      <c r="C364" s="69"/>
      <c r="D364" s="70" t="s">
        <v>67</v>
      </c>
      <c r="E364" s="59" t="s">
        <v>402</v>
      </c>
      <c r="F364" s="60"/>
      <c r="G364" s="112" t="s">
        <v>403</v>
      </c>
      <c r="H364" s="35" t="s">
        <v>69</v>
      </c>
      <c r="I364" s="34">
        <v>5</v>
      </c>
      <c r="J364" s="34" t="s">
        <v>248</v>
      </c>
      <c r="K364" s="36">
        <v>0.25</v>
      </c>
    </row>
    <row r="365" spans="1:11" ht="130.5" customHeight="1" x14ac:dyDescent="0.2">
      <c r="A365" s="34"/>
      <c r="B365" s="35"/>
      <c r="C365" s="69"/>
      <c r="D365" s="70" t="s">
        <v>67</v>
      </c>
      <c r="E365" s="59" t="s">
        <v>404</v>
      </c>
      <c r="F365" s="60"/>
      <c r="G365" s="113" t="s">
        <v>405</v>
      </c>
      <c r="H365" s="35" t="s">
        <v>69</v>
      </c>
      <c r="I365" s="34">
        <v>5</v>
      </c>
      <c r="J365" s="34" t="s">
        <v>248</v>
      </c>
      <c r="K365" s="36">
        <v>0.5</v>
      </c>
    </row>
    <row r="366" spans="1:11" ht="38.25" x14ac:dyDescent="0.2">
      <c r="A366" s="34"/>
      <c r="B366" s="35"/>
      <c r="C366" s="69"/>
      <c r="D366" s="70" t="s">
        <v>67</v>
      </c>
      <c r="E366" s="59" t="s">
        <v>406</v>
      </c>
      <c r="F366" s="60"/>
      <c r="G366" s="113" t="s">
        <v>644</v>
      </c>
      <c r="H366" s="35" t="s">
        <v>69</v>
      </c>
      <c r="I366" s="34">
        <v>5</v>
      </c>
      <c r="J366" s="34" t="s">
        <v>248</v>
      </c>
      <c r="K366" s="36">
        <v>0.25</v>
      </c>
    </row>
    <row r="367" spans="1:11" ht="51" x14ac:dyDescent="0.2">
      <c r="A367" s="34"/>
      <c r="B367" s="35"/>
      <c r="C367" s="69"/>
      <c r="D367" s="70" t="s">
        <v>67</v>
      </c>
      <c r="E367" s="59" t="s">
        <v>407</v>
      </c>
      <c r="F367" s="60"/>
      <c r="G367" s="103" t="s">
        <v>408</v>
      </c>
      <c r="H367" s="35" t="s">
        <v>69</v>
      </c>
      <c r="I367" s="34">
        <v>5</v>
      </c>
      <c r="J367" s="34" t="s">
        <v>248</v>
      </c>
      <c r="K367" s="36">
        <v>0.25</v>
      </c>
    </row>
    <row r="368" spans="1:11" ht="38.25" x14ac:dyDescent="0.2">
      <c r="A368" s="34" t="s">
        <v>409</v>
      </c>
      <c r="B368" s="105" t="s">
        <v>623</v>
      </c>
      <c r="C368" s="34">
        <v>2</v>
      </c>
      <c r="D368" s="70"/>
      <c r="E368" s="59"/>
      <c r="F368" s="60"/>
      <c r="G368" s="103"/>
      <c r="H368" s="35"/>
      <c r="I368" s="34"/>
      <c r="J368" s="34"/>
      <c r="K368" s="36"/>
    </row>
    <row r="369" spans="1:11" ht="216.75" x14ac:dyDescent="0.2">
      <c r="A369" s="34"/>
      <c r="B369" s="35"/>
      <c r="C369" s="71"/>
      <c r="D369" s="70" t="s">
        <v>67</v>
      </c>
      <c r="E369" s="59" t="s">
        <v>410</v>
      </c>
      <c r="F369" s="60"/>
      <c r="G369" s="102" t="s">
        <v>411</v>
      </c>
      <c r="H369" s="35" t="s">
        <v>69</v>
      </c>
      <c r="I369" s="34">
        <v>5</v>
      </c>
      <c r="J369" s="34" t="s">
        <v>248</v>
      </c>
      <c r="K369" s="36">
        <v>0.5</v>
      </c>
    </row>
    <row r="370" spans="1:11" ht="165.75" x14ac:dyDescent="0.2">
      <c r="A370" s="34"/>
      <c r="B370" s="35"/>
      <c r="C370" s="69"/>
      <c r="D370" s="70" t="s">
        <v>67</v>
      </c>
      <c r="E370" s="59" t="s">
        <v>412</v>
      </c>
      <c r="F370" s="60"/>
      <c r="G370" s="102" t="s">
        <v>413</v>
      </c>
      <c r="H370" s="35" t="s">
        <v>69</v>
      </c>
      <c r="I370" s="34">
        <v>5</v>
      </c>
      <c r="J370" s="34" t="s">
        <v>248</v>
      </c>
      <c r="K370" s="36">
        <v>0.5</v>
      </c>
    </row>
    <row r="371" spans="1:11" ht="63.75" x14ac:dyDescent="0.2">
      <c r="A371" s="34"/>
      <c r="B371" s="35"/>
      <c r="C371" s="69"/>
      <c r="D371" s="70" t="s">
        <v>67</v>
      </c>
      <c r="E371" s="59" t="s">
        <v>414</v>
      </c>
      <c r="F371" s="61"/>
      <c r="G371" s="104" t="s">
        <v>415</v>
      </c>
      <c r="H371" s="35" t="s">
        <v>69</v>
      </c>
      <c r="I371" s="34">
        <v>5</v>
      </c>
      <c r="J371" s="34" t="s">
        <v>248</v>
      </c>
      <c r="K371" s="36">
        <v>0.25</v>
      </c>
    </row>
    <row r="372" spans="1:11" ht="38.25" x14ac:dyDescent="0.2">
      <c r="A372" s="34" t="s">
        <v>416</v>
      </c>
      <c r="B372" s="105" t="s">
        <v>623</v>
      </c>
      <c r="C372" s="34">
        <v>2</v>
      </c>
      <c r="D372" s="70"/>
      <c r="E372" s="59"/>
      <c r="F372" s="61"/>
      <c r="G372" s="62"/>
      <c r="H372" s="35"/>
      <c r="I372" s="34"/>
      <c r="J372" s="34"/>
      <c r="K372" s="36"/>
    </row>
    <row r="373" spans="1:11" ht="38.25" x14ac:dyDescent="0.2">
      <c r="A373" s="34"/>
      <c r="B373" s="35"/>
      <c r="C373" s="69"/>
      <c r="D373" s="70" t="s">
        <v>67</v>
      </c>
      <c r="E373" s="59" t="s">
        <v>417</v>
      </c>
      <c r="F373" s="61"/>
      <c r="G373" s="62" t="s">
        <v>418</v>
      </c>
      <c r="H373" s="35" t="s">
        <v>69</v>
      </c>
      <c r="I373" s="34">
        <v>1</v>
      </c>
      <c r="J373" s="34" t="s">
        <v>248</v>
      </c>
      <c r="K373" s="36">
        <v>0.25</v>
      </c>
    </row>
    <row r="374" spans="1:11" ht="102" x14ac:dyDescent="0.2">
      <c r="A374" s="34"/>
      <c r="B374" s="35"/>
      <c r="C374" s="69"/>
      <c r="D374" s="70" t="s">
        <v>67</v>
      </c>
      <c r="E374" s="59" t="s">
        <v>419</v>
      </c>
      <c r="F374" s="61"/>
      <c r="G374" s="62" t="s">
        <v>420</v>
      </c>
      <c r="H374" s="35" t="s">
        <v>69</v>
      </c>
      <c r="I374" s="34">
        <v>3</v>
      </c>
      <c r="J374" s="34" t="s">
        <v>248</v>
      </c>
      <c r="K374" s="36">
        <v>0.5</v>
      </c>
    </row>
    <row r="375" spans="1:11" ht="102" x14ac:dyDescent="0.2">
      <c r="A375" s="34"/>
      <c r="B375" s="35"/>
      <c r="C375" s="34"/>
      <c r="D375" s="34" t="s">
        <v>67</v>
      </c>
      <c r="E375" s="35" t="s">
        <v>421</v>
      </c>
      <c r="F375" s="22"/>
      <c r="G375" s="35" t="s">
        <v>422</v>
      </c>
      <c r="H375" s="35" t="s">
        <v>69</v>
      </c>
      <c r="I375" s="34">
        <v>5</v>
      </c>
      <c r="J375" s="34" t="s">
        <v>248</v>
      </c>
      <c r="K375" s="36">
        <v>0.5</v>
      </c>
    </row>
    <row r="376" spans="1:11" ht="38.25" x14ac:dyDescent="0.2">
      <c r="A376" s="34" t="s">
        <v>423</v>
      </c>
      <c r="B376" s="105" t="s">
        <v>623</v>
      </c>
      <c r="C376" s="34">
        <v>2</v>
      </c>
      <c r="D376" s="34"/>
      <c r="E376" s="35"/>
      <c r="F376" s="22"/>
      <c r="G376" s="49"/>
      <c r="H376" s="35"/>
      <c r="I376" s="34"/>
      <c r="J376" s="34"/>
      <c r="K376" s="36"/>
    </row>
    <row r="377" spans="1:11" ht="25.5" x14ac:dyDescent="0.2">
      <c r="A377" s="34"/>
      <c r="B377" s="35"/>
      <c r="C377" s="34"/>
      <c r="D377" s="34" t="s">
        <v>67</v>
      </c>
      <c r="E377" s="35" t="s">
        <v>424</v>
      </c>
      <c r="F377" s="22"/>
      <c r="G377" s="49" t="s">
        <v>425</v>
      </c>
      <c r="H377" s="35" t="s">
        <v>69</v>
      </c>
      <c r="I377" s="34">
        <v>3</v>
      </c>
      <c r="J377" s="34" t="s">
        <v>248</v>
      </c>
      <c r="K377" s="36">
        <v>0.25</v>
      </c>
    </row>
    <row r="378" spans="1:11" ht="140.25" x14ac:dyDescent="0.2">
      <c r="A378" s="34"/>
      <c r="B378" s="35"/>
      <c r="C378" s="34"/>
      <c r="D378" s="34" t="s">
        <v>67</v>
      </c>
      <c r="E378" s="35" t="s">
        <v>426</v>
      </c>
      <c r="F378" s="22"/>
      <c r="G378" s="49" t="s">
        <v>427</v>
      </c>
      <c r="H378" s="35" t="s">
        <v>69</v>
      </c>
      <c r="I378" s="34">
        <v>5</v>
      </c>
      <c r="J378" s="34" t="s">
        <v>248</v>
      </c>
      <c r="K378" s="36">
        <v>0.5</v>
      </c>
    </row>
    <row r="379" spans="1:11" ht="76.5" x14ac:dyDescent="0.2">
      <c r="A379" s="34"/>
      <c r="B379" s="35"/>
      <c r="C379" s="34"/>
      <c r="D379" s="34" t="s">
        <v>67</v>
      </c>
      <c r="E379" s="35" t="s">
        <v>428</v>
      </c>
      <c r="F379" s="22"/>
      <c r="G379" s="49" t="s">
        <v>429</v>
      </c>
      <c r="H379" s="35" t="s">
        <v>69</v>
      </c>
      <c r="I379" s="34">
        <v>5</v>
      </c>
      <c r="J379" s="34" t="s">
        <v>248</v>
      </c>
      <c r="K379" s="36">
        <v>0.5</v>
      </c>
    </row>
    <row r="380" spans="1:11" ht="38.25" x14ac:dyDescent="0.2">
      <c r="A380" s="34" t="s">
        <v>430</v>
      </c>
      <c r="B380" s="105" t="s">
        <v>623</v>
      </c>
      <c r="C380" s="34">
        <v>2</v>
      </c>
      <c r="D380" s="34"/>
      <c r="E380" s="35"/>
      <c r="F380" s="22"/>
      <c r="G380" s="49"/>
      <c r="H380" s="35"/>
      <c r="I380" s="34"/>
      <c r="J380" s="34"/>
      <c r="K380" s="36"/>
    </row>
    <row r="381" spans="1:11" ht="25.5" x14ac:dyDescent="0.2">
      <c r="A381" s="34"/>
      <c r="B381" s="35"/>
      <c r="C381" s="34"/>
      <c r="D381" s="34" t="s">
        <v>67</v>
      </c>
      <c r="E381" s="35" t="s">
        <v>431</v>
      </c>
      <c r="F381" s="22"/>
      <c r="G381" s="49" t="s">
        <v>432</v>
      </c>
      <c r="H381" s="35" t="s">
        <v>69</v>
      </c>
      <c r="I381" s="34">
        <v>2</v>
      </c>
      <c r="J381" s="34" t="s">
        <v>248</v>
      </c>
      <c r="K381" s="36">
        <v>0.25</v>
      </c>
    </row>
    <row r="382" spans="1:11" ht="102" x14ac:dyDescent="0.2">
      <c r="A382" s="34"/>
      <c r="B382" s="35"/>
      <c r="C382" s="34"/>
      <c r="D382" s="34" t="s">
        <v>67</v>
      </c>
      <c r="E382" s="35" t="s">
        <v>433</v>
      </c>
      <c r="F382" s="22"/>
      <c r="G382" s="49" t="s">
        <v>434</v>
      </c>
      <c r="H382" s="35" t="s">
        <v>69</v>
      </c>
      <c r="I382" s="34">
        <v>5</v>
      </c>
      <c r="J382" s="34" t="s">
        <v>248</v>
      </c>
      <c r="K382" s="36">
        <v>0.5</v>
      </c>
    </row>
    <row r="383" spans="1:11" ht="127.5" x14ac:dyDescent="0.2">
      <c r="A383" s="34"/>
      <c r="B383" s="35"/>
      <c r="C383" s="34"/>
      <c r="D383" s="34" t="s">
        <v>67</v>
      </c>
      <c r="E383" s="54" t="s">
        <v>435</v>
      </c>
      <c r="F383" s="22"/>
      <c r="G383" s="49" t="s">
        <v>624</v>
      </c>
      <c r="H383" s="35" t="s">
        <v>69</v>
      </c>
      <c r="I383" s="34">
        <v>5</v>
      </c>
      <c r="J383" s="34" t="s">
        <v>248</v>
      </c>
      <c r="K383" s="36">
        <v>0.5</v>
      </c>
    </row>
    <row r="384" spans="1:11" ht="25.5" x14ac:dyDescent="0.2">
      <c r="A384" s="34"/>
      <c r="B384" s="35"/>
      <c r="C384" s="34"/>
      <c r="D384" s="34" t="s">
        <v>67</v>
      </c>
      <c r="E384" s="54" t="s">
        <v>436</v>
      </c>
      <c r="F384" s="22"/>
      <c r="G384" s="49" t="s">
        <v>437</v>
      </c>
      <c r="H384" s="35" t="s">
        <v>69</v>
      </c>
      <c r="I384" s="34">
        <v>5</v>
      </c>
      <c r="J384" s="34" t="s">
        <v>248</v>
      </c>
      <c r="K384" s="36">
        <v>0.25</v>
      </c>
    </row>
    <row r="385" spans="1:26" ht="38.25" x14ac:dyDescent="0.2">
      <c r="A385" s="34" t="s">
        <v>438</v>
      </c>
      <c r="B385" s="35" t="s">
        <v>623</v>
      </c>
      <c r="C385" s="34">
        <v>2</v>
      </c>
      <c r="D385" s="34"/>
      <c r="E385" s="54"/>
      <c r="F385" s="22"/>
      <c r="G385" s="49"/>
      <c r="H385" s="35"/>
      <c r="I385" s="34"/>
      <c r="J385" s="34"/>
      <c r="K385" s="36"/>
    </row>
    <row r="386" spans="1:26" ht="25.5" x14ac:dyDescent="0.2">
      <c r="A386" s="34"/>
      <c r="B386" s="35"/>
      <c r="C386" s="34"/>
      <c r="D386" s="34" t="s">
        <v>67</v>
      </c>
      <c r="E386" s="54" t="s">
        <v>439</v>
      </c>
      <c r="F386" s="22"/>
      <c r="G386" s="55" t="s">
        <v>440</v>
      </c>
      <c r="H386" s="35" t="s">
        <v>69</v>
      </c>
      <c r="I386" s="34">
        <v>2</v>
      </c>
      <c r="J386" s="34" t="s">
        <v>248</v>
      </c>
      <c r="K386" s="36">
        <v>0.25</v>
      </c>
    </row>
    <row r="387" spans="1:26" ht="127.5" x14ac:dyDescent="0.2">
      <c r="A387" s="34"/>
      <c r="B387" s="35"/>
      <c r="C387" s="34"/>
      <c r="D387" s="34" t="s">
        <v>67</v>
      </c>
      <c r="E387" s="54" t="s">
        <v>441</v>
      </c>
      <c r="F387" s="22"/>
      <c r="G387" s="35" t="s">
        <v>442</v>
      </c>
      <c r="H387" s="35" t="s">
        <v>69</v>
      </c>
      <c r="I387" s="34">
        <v>3</v>
      </c>
      <c r="J387" s="34" t="s">
        <v>248</v>
      </c>
      <c r="K387" s="36">
        <v>0.5</v>
      </c>
    </row>
    <row r="388" spans="1:26" ht="25.5" x14ac:dyDescent="0.2">
      <c r="A388" s="34" t="s">
        <v>443</v>
      </c>
      <c r="B388" s="35" t="s">
        <v>74</v>
      </c>
      <c r="C388" s="34">
        <v>2</v>
      </c>
      <c r="D388" s="34"/>
      <c r="E388" s="54"/>
      <c r="F388" s="22"/>
      <c r="G388" s="49"/>
      <c r="H388" s="35"/>
      <c r="I388" s="34"/>
      <c r="J388" s="34"/>
      <c r="K388" s="36"/>
    </row>
    <row r="389" spans="1:26" ht="25.5" x14ac:dyDescent="0.2">
      <c r="A389" s="34"/>
      <c r="B389" s="35"/>
      <c r="C389" s="34"/>
      <c r="D389" s="34" t="s">
        <v>67</v>
      </c>
      <c r="E389" s="35" t="s">
        <v>444</v>
      </c>
      <c r="F389" s="22"/>
      <c r="G389" s="49" t="s">
        <v>445</v>
      </c>
      <c r="H389" s="35" t="s">
        <v>69</v>
      </c>
      <c r="I389" s="34">
        <v>3</v>
      </c>
      <c r="J389" s="34" t="s">
        <v>248</v>
      </c>
      <c r="K389" s="36">
        <v>0.5</v>
      </c>
    </row>
    <row r="390" spans="1:26" ht="147" customHeight="1" x14ac:dyDescent="0.2">
      <c r="A390" s="34"/>
      <c r="B390" s="35"/>
      <c r="C390" s="34"/>
      <c r="D390" s="34" t="s">
        <v>67</v>
      </c>
      <c r="E390" s="35" t="s">
        <v>446</v>
      </c>
      <c r="F390" s="22"/>
      <c r="G390" s="49" t="s">
        <v>447</v>
      </c>
      <c r="H390" s="35" t="s">
        <v>69</v>
      </c>
      <c r="I390" s="34">
        <v>5</v>
      </c>
      <c r="J390" s="34" t="s">
        <v>248</v>
      </c>
      <c r="K390" s="36">
        <v>0.5</v>
      </c>
    </row>
    <row r="391" spans="1:26" ht="38.25" x14ac:dyDescent="0.2">
      <c r="A391" s="34" t="s">
        <v>448</v>
      </c>
      <c r="B391" s="35" t="s">
        <v>449</v>
      </c>
      <c r="C391" s="34">
        <v>2</v>
      </c>
      <c r="D391" s="34"/>
      <c r="E391" s="54"/>
      <c r="F391" s="22"/>
      <c r="G391" s="49"/>
      <c r="H391" s="35"/>
      <c r="I391" s="34"/>
      <c r="J391" s="34"/>
      <c r="K391" s="36"/>
    </row>
    <row r="392" spans="1:26" ht="63.75" x14ac:dyDescent="0.2">
      <c r="A392" s="34"/>
      <c r="B392" s="35"/>
      <c r="C392" s="34"/>
      <c r="D392" s="34" t="s">
        <v>67</v>
      </c>
      <c r="E392" s="54" t="s">
        <v>450</v>
      </c>
      <c r="F392" s="22"/>
      <c r="G392" s="49" t="s">
        <v>625</v>
      </c>
      <c r="H392" s="35" t="s">
        <v>69</v>
      </c>
      <c r="I392" s="34">
        <v>5</v>
      </c>
      <c r="J392" s="34" t="s">
        <v>248</v>
      </c>
      <c r="K392" s="36">
        <v>0.25</v>
      </c>
    </row>
    <row r="393" spans="1:26" ht="25.5" x14ac:dyDescent="0.2">
      <c r="A393" s="34"/>
      <c r="B393" s="35"/>
      <c r="C393" s="34"/>
      <c r="D393" s="34" t="s">
        <v>67</v>
      </c>
      <c r="E393" s="54" t="s">
        <v>451</v>
      </c>
      <c r="F393" s="22"/>
      <c r="G393" s="35" t="s">
        <v>626</v>
      </c>
      <c r="H393" s="35" t="s">
        <v>69</v>
      </c>
      <c r="I393" s="34">
        <v>5</v>
      </c>
      <c r="J393" s="34" t="s">
        <v>248</v>
      </c>
      <c r="K393" s="36">
        <v>0.5</v>
      </c>
    </row>
    <row r="394" spans="1:26" ht="51" x14ac:dyDescent="0.2">
      <c r="A394" s="34"/>
      <c r="B394" s="35"/>
      <c r="C394" s="34"/>
      <c r="D394" s="34" t="s">
        <v>67</v>
      </c>
      <c r="E394" s="54" t="s">
        <v>452</v>
      </c>
      <c r="F394" s="22"/>
      <c r="G394" s="35" t="s">
        <v>627</v>
      </c>
      <c r="H394" s="35" t="s">
        <v>69</v>
      </c>
      <c r="I394" s="34">
        <v>5</v>
      </c>
      <c r="J394" s="34" t="s">
        <v>248</v>
      </c>
      <c r="K394" s="36">
        <v>0.25</v>
      </c>
    </row>
    <row r="395" spans="1:26" ht="12.75" x14ac:dyDescent="0.2">
      <c r="A395" s="34"/>
      <c r="B395" s="35"/>
      <c r="C395" s="34"/>
      <c r="D395" s="34" t="s">
        <v>67</v>
      </c>
      <c r="E395" s="54" t="s">
        <v>453</v>
      </c>
      <c r="F395" s="22"/>
      <c r="G395" s="49" t="s">
        <v>454</v>
      </c>
      <c r="H395" s="35" t="s">
        <v>69</v>
      </c>
      <c r="I395" s="34">
        <v>3</v>
      </c>
      <c r="J395" s="34" t="s">
        <v>248</v>
      </c>
      <c r="K395" s="36">
        <v>0.5</v>
      </c>
    </row>
    <row r="396" spans="1:26" ht="12.75" x14ac:dyDescent="0.2">
      <c r="A396" s="37"/>
      <c r="B396" s="39"/>
      <c r="C396" s="37"/>
      <c r="D396" s="37"/>
      <c r="E396" s="54"/>
      <c r="F396" s="32"/>
      <c r="G396" s="63"/>
      <c r="H396" s="39"/>
      <c r="I396" s="37"/>
      <c r="J396" s="37"/>
      <c r="K396" s="40"/>
    </row>
    <row r="397" spans="1:26" ht="12.75" customHeight="1" x14ac:dyDescent="0.2">
      <c r="A397" s="12" t="s">
        <v>28</v>
      </c>
      <c r="B397" s="12" t="s">
        <v>29</v>
      </c>
      <c r="C397" s="12" t="s">
        <v>30</v>
      </c>
      <c r="D397" s="12" t="s">
        <v>31</v>
      </c>
      <c r="E397" s="12" t="s">
        <v>32</v>
      </c>
      <c r="F397" s="12" t="s">
        <v>33</v>
      </c>
      <c r="G397" s="12" t="s">
        <v>34</v>
      </c>
      <c r="H397" s="12" t="s">
        <v>35</v>
      </c>
      <c r="I397" s="12" t="s">
        <v>36</v>
      </c>
      <c r="J397" s="12" t="s">
        <v>37</v>
      </c>
      <c r="K397" s="12" t="s">
        <v>38</v>
      </c>
      <c r="L397" s="13" t="s">
        <v>455</v>
      </c>
      <c r="M397" s="14" t="s">
        <v>40</v>
      </c>
      <c r="N397" s="15">
        <f>SUM(K398:K550)</f>
        <v>30</v>
      </c>
    </row>
    <row r="398" spans="1:26" ht="25.5" x14ac:dyDescent="0.2">
      <c r="A398" s="21" t="s">
        <v>456</v>
      </c>
      <c r="B398" s="35" t="s">
        <v>42</v>
      </c>
      <c r="C398" s="21">
        <v>3</v>
      </c>
      <c r="D398" s="21"/>
      <c r="E398" s="35"/>
      <c r="F398" s="21" t="s">
        <v>292</v>
      </c>
      <c r="G398" s="35" t="s">
        <v>292</v>
      </c>
      <c r="H398" s="72" t="s">
        <v>292</v>
      </c>
      <c r="I398" s="21"/>
      <c r="J398" s="21"/>
      <c r="K398" s="51"/>
      <c r="L398" s="26"/>
      <c r="M398" s="26"/>
      <c r="N398" s="26"/>
      <c r="O398" s="26"/>
      <c r="P398" s="26"/>
      <c r="Q398" s="26"/>
      <c r="R398" s="26"/>
      <c r="S398" s="26"/>
      <c r="T398" s="26"/>
      <c r="U398" s="26"/>
      <c r="V398" s="26"/>
      <c r="W398" s="26"/>
      <c r="X398" s="26"/>
      <c r="Y398" s="26"/>
      <c r="Z398" s="26"/>
    </row>
    <row r="399" spans="1:26" ht="38.25" x14ac:dyDescent="0.2">
      <c r="A399" s="21"/>
      <c r="B399" s="35"/>
      <c r="C399" s="21"/>
      <c r="D399" s="21" t="s">
        <v>43</v>
      </c>
      <c r="E399" s="35" t="s">
        <v>457</v>
      </c>
      <c r="F399" s="21" t="s">
        <v>292</v>
      </c>
      <c r="G399" s="35" t="s">
        <v>292</v>
      </c>
      <c r="H399" s="72" t="s">
        <v>292</v>
      </c>
      <c r="I399" s="21">
        <v>3</v>
      </c>
      <c r="J399" s="21"/>
      <c r="K399" s="51">
        <v>0.75</v>
      </c>
      <c r="L399" s="26"/>
      <c r="M399" s="26"/>
      <c r="N399" s="26"/>
      <c r="O399" s="26"/>
      <c r="P399" s="26"/>
      <c r="Q399" s="26"/>
      <c r="R399" s="26"/>
      <c r="S399" s="26"/>
      <c r="T399" s="26"/>
      <c r="U399" s="26"/>
      <c r="V399" s="26"/>
      <c r="W399" s="26"/>
      <c r="X399" s="26"/>
      <c r="Y399" s="26"/>
      <c r="Z399" s="26"/>
    </row>
    <row r="400" spans="1:26" ht="12.75" x14ac:dyDescent="0.2">
      <c r="A400" s="21" t="s">
        <v>292</v>
      </c>
      <c r="B400" s="35"/>
      <c r="C400" s="21"/>
      <c r="D400" s="21"/>
      <c r="E400" s="35" t="s">
        <v>292</v>
      </c>
      <c r="F400" s="21">
        <v>0</v>
      </c>
      <c r="G400" s="35" t="s">
        <v>458</v>
      </c>
      <c r="H400" s="72" t="s">
        <v>292</v>
      </c>
      <c r="I400" s="21"/>
      <c r="J400" s="21"/>
      <c r="K400" s="51"/>
      <c r="L400" s="26"/>
      <c r="M400" s="26"/>
      <c r="N400" s="26"/>
      <c r="O400" s="26"/>
      <c r="P400" s="26"/>
      <c r="Q400" s="26"/>
      <c r="R400" s="26"/>
      <c r="S400" s="26"/>
      <c r="T400" s="26"/>
      <c r="U400" s="26"/>
      <c r="V400" s="26"/>
      <c r="W400" s="26"/>
      <c r="X400" s="26"/>
      <c r="Y400" s="26"/>
      <c r="Z400" s="26"/>
    </row>
    <row r="401" spans="1:26" ht="12.75" x14ac:dyDescent="0.2">
      <c r="A401" s="21" t="s">
        <v>292</v>
      </c>
      <c r="B401" s="35"/>
      <c r="C401" s="21"/>
      <c r="D401" s="21"/>
      <c r="E401" s="35" t="s">
        <v>292</v>
      </c>
      <c r="F401" s="21">
        <v>1</v>
      </c>
      <c r="G401" s="35" t="s">
        <v>459</v>
      </c>
      <c r="H401" s="72" t="s">
        <v>292</v>
      </c>
      <c r="I401" s="21"/>
      <c r="J401" s="21"/>
      <c r="K401" s="51"/>
      <c r="L401" s="26"/>
      <c r="M401" s="26"/>
      <c r="N401" s="26"/>
      <c r="O401" s="26"/>
      <c r="P401" s="26"/>
      <c r="Q401" s="26"/>
      <c r="R401" s="26"/>
      <c r="S401" s="26"/>
      <c r="T401" s="26"/>
      <c r="U401" s="26"/>
      <c r="V401" s="26"/>
      <c r="W401" s="26"/>
      <c r="X401" s="26"/>
      <c r="Y401" s="26"/>
      <c r="Z401" s="26"/>
    </row>
    <row r="402" spans="1:26" ht="25.5" x14ac:dyDescent="0.2">
      <c r="A402" s="21" t="s">
        <v>292</v>
      </c>
      <c r="B402" s="35"/>
      <c r="C402" s="21"/>
      <c r="D402" s="21"/>
      <c r="E402" s="35" t="s">
        <v>292</v>
      </c>
      <c r="F402" s="21">
        <v>2</v>
      </c>
      <c r="G402" s="35" t="s">
        <v>460</v>
      </c>
      <c r="H402" s="72" t="s">
        <v>292</v>
      </c>
      <c r="I402" s="21"/>
      <c r="J402" s="21"/>
      <c r="K402" s="51"/>
      <c r="L402" s="26"/>
      <c r="M402" s="26"/>
      <c r="N402" s="26"/>
      <c r="O402" s="26"/>
      <c r="P402" s="26"/>
      <c r="Q402" s="26"/>
      <c r="R402" s="26"/>
      <c r="S402" s="26"/>
      <c r="T402" s="26"/>
      <c r="U402" s="26"/>
      <c r="V402" s="26"/>
      <c r="W402" s="26"/>
      <c r="X402" s="26"/>
      <c r="Y402" s="26"/>
      <c r="Z402" s="26"/>
    </row>
    <row r="403" spans="1:26" ht="25.5" x14ac:dyDescent="0.2">
      <c r="A403" s="21" t="s">
        <v>292</v>
      </c>
      <c r="B403" s="35"/>
      <c r="C403" s="21"/>
      <c r="D403" s="21"/>
      <c r="E403" s="35" t="s">
        <v>292</v>
      </c>
      <c r="F403" s="21">
        <v>3</v>
      </c>
      <c r="G403" s="35" t="s">
        <v>461</v>
      </c>
      <c r="H403" s="72" t="s">
        <v>292</v>
      </c>
      <c r="I403" s="21"/>
      <c r="J403" s="21"/>
      <c r="K403" s="51"/>
      <c r="L403" s="26"/>
      <c r="M403" s="26"/>
      <c r="N403" s="26"/>
      <c r="O403" s="26"/>
      <c r="P403" s="26"/>
      <c r="Q403" s="26"/>
      <c r="R403" s="26"/>
      <c r="S403" s="26"/>
      <c r="T403" s="26"/>
      <c r="U403" s="26"/>
      <c r="V403" s="26"/>
      <c r="W403" s="26"/>
      <c r="X403" s="26"/>
      <c r="Y403" s="26"/>
      <c r="Z403" s="26"/>
    </row>
    <row r="404" spans="1:26" ht="25.5" x14ac:dyDescent="0.2">
      <c r="A404" s="21"/>
      <c r="B404" s="35"/>
      <c r="C404" s="21"/>
      <c r="D404" s="21" t="s">
        <v>43</v>
      </c>
      <c r="E404" s="35" t="s">
        <v>462</v>
      </c>
      <c r="F404" s="34" t="s">
        <v>292</v>
      </c>
      <c r="G404" s="35" t="s">
        <v>292</v>
      </c>
      <c r="H404" s="72" t="s">
        <v>292</v>
      </c>
      <c r="I404" s="21">
        <v>4</v>
      </c>
      <c r="J404" s="21"/>
      <c r="K404" s="51">
        <v>0.5</v>
      </c>
      <c r="L404" s="26"/>
      <c r="M404" s="26"/>
      <c r="N404" s="26"/>
      <c r="O404" s="26"/>
      <c r="P404" s="26"/>
      <c r="Q404" s="26"/>
      <c r="R404" s="26"/>
      <c r="S404" s="26"/>
      <c r="T404" s="26"/>
      <c r="U404" s="26"/>
      <c r="V404" s="26"/>
      <c r="W404" s="26"/>
      <c r="X404" s="26"/>
      <c r="Y404" s="26"/>
      <c r="Z404" s="26"/>
    </row>
    <row r="405" spans="1:26" ht="12.75" x14ac:dyDescent="0.2">
      <c r="A405" s="21" t="s">
        <v>292</v>
      </c>
      <c r="B405" s="35"/>
      <c r="C405" s="21"/>
      <c r="D405" s="21"/>
      <c r="E405" s="35" t="s">
        <v>292</v>
      </c>
      <c r="F405" s="34">
        <v>0</v>
      </c>
      <c r="G405" s="35" t="s">
        <v>463</v>
      </c>
      <c r="H405" s="72" t="s">
        <v>292</v>
      </c>
      <c r="I405" s="21"/>
      <c r="J405" s="21"/>
      <c r="K405" s="51"/>
      <c r="L405" s="26"/>
      <c r="M405" s="26"/>
      <c r="N405" s="26"/>
      <c r="O405" s="26"/>
      <c r="P405" s="26"/>
      <c r="Q405" s="26"/>
      <c r="R405" s="26"/>
      <c r="S405" s="26"/>
      <c r="T405" s="26"/>
      <c r="U405" s="26"/>
      <c r="V405" s="26"/>
      <c r="W405" s="26"/>
      <c r="X405" s="26"/>
      <c r="Y405" s="26"/>
      <c r="Z405" s="26"/>
    </row>
    <row r="406" spans="1:26" ht="25.5" x14ac:dyDescent="0.2">
      <c r="A406" s="21" t="s">
        <v>292</v>
      </c>
      <c r="B406" s="35"/>
      <c r="C406" s="21"/>
      <c r="D406" s="21"/>
      <c r="E406" s="35" t="s">
        <v>292</v>
      </c>
      <c r="F406" s="34">
        <v>1</v>
      </c>
      <c r="G406" s="35" t="s">
        <v>464</v>
      </c>
      <c r="H406" s="72" t="s">
        <v>292</v>
      </c>
      <c r="I406" s="21"/>
      <c r="J406" s="21"/>
      <c r="K406" s="51"/>
      <c r="L406" s="26"/>
      <c r="M406" s="26"/>
      <c r="N406" s="26"/>
      <c r="O406" s="26"/>
      <c r="P406" s="26"/>
      <c r="Q406" s="26"/>
      <c r="R406" s="26"/>
      <c r="S406" s="26"/>
      <c r="T406" s="26"/>
      <c r="U406" s="26"/>
      <c r="V406" s="26"/>
      <c r="W406" s="26"/>
      <c r="X406" s="26"/>
      <c r="Y406" s="26"/>
      <c r="Z406" s="26"/>
    </row>
    <row r="407" spans="1:26" ht="12.75" x14ac:dyDescent="0.2">
      <c r="A407" s="21" t="s">
        <v>292</v>
      </c>
      <c r="B407" s="35"/>
      <c r="C407" s="21"/>
      <c r="D407" s="21"/>
      <c r="E407" s="35" t="s">
        <v>292</v>
      </c>
      <c r="F407" s="34">
        <v>2</v>
      </c>
      <c r="G407" s="35" t="s">
        <v>205</v>
      </c>
      <c r="H407" s="72" t="s">
        <v>292</v>
      </c>
      <c r="I407" s="21"/>
      <c r="J407" s="21"/>
      <c r="K407" s="51"/>
      <c r="L407" s="26"/>
      <c r="M407" s="26"/>
      <c r="N407" s="26"/>
      <c r="O407" s="26"/>
      <c r="P407" s="26"/>
      <c r="Q407" s="26"/>
      <c r="R407" s="26"/>
      <c r="S407" s="26"/>
      <c r="T407" s="26"/>
      <c r="U407" s="26"/>
      <c r="V407" s="26"/>
      <c r="W407" s="26"/>
      <c r="X407" s="26"/>
      <c r="Y407" s="26"/>
      <c r="Z407" s="26"/>
    </row>
    <row r="408" spans="1:26" ht="38.25" x14ac:dyDescent="0.2">
      <c r="A408" s="21" t="s">
        <v>292</v>
      </c>
      <c r="B408" s="35"/>
      <c r="C408" s="21"/>
      <c r="D408" s="21"/>
      <c r="E408" s="35" t="s">
        <v>292</v>
      </c>
      <c r="F408" s="34">
        <v>3</v>
      </c>
      <c r="G408" s="35" t="s">
        <v>206</v>
      </c>
      <c r="H408" s="72" t="s">
        <v>292</v>
      </c>
      <c r="I408" s="21"/>
      <c r="J408" s="21"/>
      <c r="K408" s="51"/>
      <c r="L408" s="26"/>
      <c r="M408" s="26"/>
      <c r="N408" s="26"/>
      <c r="O408" s="26"/>
      <c r="P408" s="26"/>
      <c r="Q408" s="26"/>
      <c r="R408" s="26"/>
      <c r="S408" s="26"/>
      <c r="T408" s="26"/>
      <c r="U408" s="26"/>
      <c r="V408" s="26"/>
      <c r="W408" s="26"/>
      <c r="X408" s="26"/>
      <c r="Y408" s="26"/>
      <c r="Z408" s="26"/>
    </row>
    <row r="409" spans="1:26" ht="38.25" x14ac:dyDescent="0.2">
      <c r="A409" s="73"/>
      <c r="B409" s="74"/>
      <c r="C409" s="75"/>
      <c r="D409" s="21" t="s">
        <v>43</v>
      </c>
      <c r="E409" s="35" t="s">
        <v>465</v>
      </c>
      <c r="F409" s="34" t="s">
        <v>292</v>
      </c>
      <c r="G409" s="35" t="s">
        <v>292</v>
      </c>
      <c r="H409" s="72" t="s">
        <v>292</v>
      </c>
      <c r="I409" s="21">
        <v>4</v>
      </c>
      <c r="J409" s="21"/>
      <c r="K409" s="51">
        <v>0.75</v>
      </c>
      <c r="L409" s="26"/>
      <c r="M409" s="26"/>
      <c r="N409" s="26"/>
      <c r="O409" s="26"/>
      <c r="P409" s="26"/>
      <c r="Q409" s="26"/>
      <c r="R409" s="26"/>
      <c r="S409" s="26"/>
      <c r="T409" s="26"/>
      <c r="U409" s="26"/>
      <c r="V409" s="26"/>
      <c r="W409" s="26"/>
      <c r="X409" s="26"/>
      <c r="Y409" s="26"/>
      <c r="Z409" s="26"/>
    </row>
    <row r="410" spans="1:26" ht="25.5" x14ac:dyDescent="0.2">
      <c r="A410" s="21" t="s">
        <v>292</v>
      </c>
      <c r="B410" s="35"/>
      <c r="C410" s="21"/>
      <c r="D410" s="21"/>
      <c r="E410" s="35" t="s">
        <v>292</v>
      </c>
      <c r="F410" s="34">
        <v>0</v>
      </c>
      <c r="G410" s="35" t="s">
        <v>213</v>
      </c>
      <c r="H410" s="72" t="s">
        <v>292</v>
      </c>
      <c r="I410" s="21"/>
      <c r="J410" s="21"/>
      <c r="K410" s="51"/>
      <c r="L410" s="26"/>
      <c r="M410" s="26"/>
      <c r="N410" s="26"/>
      <c r="O410" s="26"/>
      <c r="P410" s="26"/>
      <c r="Q410" s="26"/>
      <c r="R410" s="26"/>
      <c r="S410" s="26"/>
      <c r="T410" s="26"/>
      <c r="U410" s="26"/>
      <c r="V410" s="26"/>
      <c r="W410" s="26"/>
      <c r="X410" s="26"/>
      <c r="Y410" s="26"/>
      <c r="Z410" s="26"/>
    </row>
    <row r="411" spans="1:26" ht="25.5" x14ac:dyDescent="0.2">
      <c r="A411" s="21" t="s">
        <v>292</v>
      </c>
      <c r="B411" s="35"/>
      <c r="C411" s="21"/>
      <c r="D411" s="21"/>
      <c r="E411" s="35" t="s">
        <v>292</v>
      </c>
      <c r="F411" s="34">
        <v>1</v>
      </c>
      <c r="G411" s="35" t="s">
        <v>466</v>
      </c>
      <c r="H411" s="72" t="s">
        <v>292</v>
      </c>
      <c r="I411" s="21"/>
      <c r="J411" s="21"/>
      <c r="K411" s="51"/>
      <c r="L411" s="26"/>
      <c r="M411" s="26"/>
      <c r="N411" s="26"/>
      <c r="O411" s="26"/>
      <c r="P411" s="26"/>
      <c r="Q411" s="26"/>
      <c r="R411" s="26"/>
      <c r="S411" s="26"/>
      <c r="T411" s="26"/>
      <c r="U411" s="26"/>
      <c r="V411" s="26"/>
      <c r="W411" s="26"/>
      <c r="X411" s="26"/>
      <c r="Y411" s="26"/>
      <c r="Z411" s="26"/>
    </row>
    <row r="412" spans="1:26" ht="25.5" x14ac:dyDescent="0.2">
      <c r="A412" s="21" t="s">
        <v>292</v>
      </c>
      <c r="B412" s="35"/>
      <c r="C412" s="21"/>
      <c r="D412" s="21"/>
      <c r="E412" s="35" t="s">
        <v>292</v>
      </c>
      <c r="F412" s="34">
        <v>2</v>
      </c>
      <c r="G412" s="35" t="s">
        <v>215</v>
      </c>
      <c r="H412" s="72" t="s">
        <v>292</v>
      </c>
      <c r="I412" s="21"/>
      <c r="J412" s="21"/>
      <c r="K412" s="51"/>
      <c r="L412" s="26"/>
      <c r="M412" s="26"/>
      <c r="N412" s="26"/>
      <c r="O412" s="26"/>
      <c r="P412" s="26"/>
      <c r="Q412" s="26"/>
      <c r="R412" s="26"/>
      <c r="S412" s="26"/>
      <c r="T412" s="26"/>
      <c r="U412" s="26"/>
      <c r="V412" s="26"/>
      <c r="W412" s="26"/>
      <c r="X412" s="26"/>
      <c r="Y412" s="26"/>
      <c r="Z412" s="26"/>
    </row>
    <row r="413" spans="1:26" ht="38.25" x14ac:dyDescent="0.2">
      <c r="A413" s="21" t="s">
        <v>292</v>
      </c>
      <c r="B413" s="35"/>
      <c r="C413" s="21"/>
      <c r="D413" s="21"/>
      <c r="E413" s="35" t="s">
        <v>292</v>
      </c>
      <c r="F413" s="34">
        <v>3</v>
      </c>
      <c r="G413" s="35" t="s">
        <v>467</v>
      </c>
      <c r="H413" s="72" t="s">
        <v>292</v>
      </c>
      <c r="I413" s="21"/>
      <c r="J413" s="21"/>
      <c r="K413" s="51"/>
      <c r="L413" s="26"/>
      <c r="M413" s="26"/>
      <c r="N413" s="26"/>
      <c r="O413" s="26"/>
      <c r="P413" s="26"/>
      <c r="Q413" s="26"/>
      <c r="R413" s="26"/>
      <c r="S413" s="26"/>
      <c r="T413" s="26"/>
      <c r="U413" s="26"/>
      <c r="V413" s="26"/>
      <c r="W413" s="26"/>
      <c r="X413" s="26"/>
      <c r="Y413" s="26"/>
      <c r="Z413" s="26"/>
    </row>
    <row r="414" spans="1:26" ht="12.75" x14ac:dyDescent="0.2">
      <c r="A414" s="21" t="s">
        <v>468</v>
      </c>
      <c r="B414" s="35" t="s">
        <v>55</v>
      </c>
      <c r="C414" s="21">
        <v>3</v>
      </c>
      <c r="D414" s="21"/>
      <c r="E414" s="76"/>
      <c r="F414" s="77"/>
      <c r="G414" s="78"/>
      <c r="H414" s="72"/>
      <c r="I414" s="21"/>
      <c r="J414" s="21"/>
      <c r="K414" s="51"/>
      <c r="L414" s="26"/>
      <c r="M414" s="26"/>
      <c r="N414" s="26"/>
      <c r="O414" s="26"/>
      <c r="P414" s="26"/>
      <c r="Q414" s="26"/>
      <c r="R414" s="26"/>
      <c r="S414" s="26"/>
      <c r="T414" s="26"/>
      <c r="U414" s="26"/>
      <c r="V414" s="26"/>
      <c r="W414" s="26"/>
      <c r="X414" s="26"/>
      <c r="Y414" s="26"/>
      <c r="Z414" s="26"/>
    </row>
    <row r="415" spans="1:26" ht="12.75" x14ac:dyDescent="0.2">
      <c r="A415" s="21"/>
      <c r="B415" s="35"/>
      <c r="C415" s="21"/>
      <c r="D415" s="21" t="s">
        <v>43</v>
      </c>
      <c r="E415" s="79" t="s">
        <v>469</v>
      </c>
      <c r="F415" s="80"/>
      <c r="G415" s="81"/>
      <c r="H415" s="72" t="s">
        <v>292</v>
      </c>
      <c r="I415" s="21">
        <v>4</v>
      </c>
      <c r="J415" s="21"/>
      <c r="K415" s="51">
        <v>0.75</v>
      </c>
      <c r="L415" s="26"/>
      <c r="M415" s="26"/>
      <c r="N415" s="26"/>
      <c r="O415" s="26"/>
      <c r="P415" s="26"/>
      <c r="Q415" s="26"/>
      <c r="R415" s="26"/>
      <c r="S415" s="26"/>
      <c r="T415" s="26"/>
      <c r="U415" s="26"/>
      <c r="V415" s="26"/>
      <c r="W415" s="26"/>
      <c r="X415" s="26"/>
      <c r="Y415" s="26"/>
      <c r="Z415" s="26"/>
    </row>
    <row r="416" spans="1:26" ht="38.25" x14ac:dyDescent="0.2">
      <c r="A416" s="21" t="s">
        <v>292</v>
      </c>
      <c r="B416" s="35"/>
      <c r="C416" s="21" t="s">
        <v>292</v>
      </c>
      <c r="D416" s="21"/>
      <c r="E416" s="79"/>
      <c r="F416" s="80">
        <v>0</v>
      </c>
      <c r="G416" s="81" t="s">
        <v>470</v>
      </c>
      <c r="H416" s="72" t="s">
        <v>292</v>
      </c>
      <c r="I416" s="21"/>
      <c r="J416" s="21"/>
      <c r="K416" s="51"/>
      <c r="L416" s="26"/>
      <c r="M416" s="26"/>
      <c r="N416" s="26"/>
      <c r="O416" s="26"/>
      <c r="P416" s="26"/>
      <c r="Q416" s="26"/>
      <c r="R416" s="26"/>
      <c r="S416" s="26"/>
      <c r="T416" s="26"/>
      <c r="U416" s="26"/>
      <c r="V416" s="26"/>
      <c r="W416" s="26"/>
      <c r="X416" s="26"/>
      <c r="Y416" s="26"/>
      <c r="Z416" s="26"/>
    </row>
    <row r="417" spans="1:26" ht="38.25" x14ac:dyDescent="0.2">
      <c r="A417" s="21" t="s">
        <v>292</v>
      </c>
      <c r="B417" s="35"/>
      <c r="C417" s="21" t="s">
        <v>292</v>
      </c>
      <c r="D417" s="21"/>
      <c r="E417" s="79"/>
      <c r="F417" s="80">
        <v>1</v>
      </c>
      <c r="G417" s="81" t="s">
        <v>471</v>
      </c>
      <c r="H417" s="72" t="s">
        <v>292</v>
      </c>
      <c r="I417" s="21"/>
      <c r="J417" s="21"/>
      <c r="K417" s="51"/>
      <c r="L417" s="26"/>
      <c r="M417" s="26"/>
      <c r="N417" s="26"/>
      <c r="O417" s="26"/>
      <c r="P417" s="26"/>
      <c r="Q417" s="26"/>
      <c r="R417" s="26"/>
      <c r="S417" s="26"/>
      <c r="T417" s="26"/>
      <c r="U417" s="26"/>
      <c r="V417" s="26"/>
      <c r="W417" s="26"/>
      <c r="X417" s="26"/>
      <c r="Y417" s="26"/>
      <c r="Z417" s="26"/>
    </row>
    <row r="418" spans="1:26" ht="38.25" x14ac:dyDescent="0.2">
      <c r="A418" s="21" t="s">
        <v>292</v>
      </c>
      <c r="B418" s="35"/>
      <c r="C418" s="21" t="s">
        <v>292</v>
      </c>
      <c r="D418" s="21"/>
      <c r="E418" s="79"/>
      <c r="F418" s="80">
        <v>2</v>
      </c>
      <c r="G418" s="81" t="s">
        <v>472</v>
      </c>
      <c r="H418" s="72" t="s">
        <v>292</v>
      </c>
      <c r="I418" s="21"/>
      <c r="J418" s="21"/>
      <c r="K418" s="51"/>
      <c r="L418" s="26"/>
      <c r="M418" s="26"/>
      <c r="N418" s="26"/>
      <c r="O418" s="26"/>
      <c r="P418" s="26"/>
      <c r="Q418" s="26"/>
      <c r="R418" s="26"/>
      <c r="S418" s="26"/>
      <c r="T418" s="26"/>
      <c r="U418" s="26"/>
      <c r="V418" s="26"/>
      <c r="W418" s="26"/>
      <c r="X418" s="26"/>
      <c r="Y418" s="26"/>
      <c r="Z418" s="26"/>
    </row>
    <row r="419" spans="1:26" ht="38.25" x14ac:dyDescent="0.2">
      <c r="A419" s="21" t="s">
        <v>292</v>
      </c>
      <c r="B419" s="35"/>
      <c r="C419" s="21" t="s">
        <v>292</v>
      </c>
      <c r="D419" s="21"/>
      <c r="E419" s="79"/>
      <c r="F419" s="80">
        <v>3</v>
      </c>
      <c r="G419" s="81" t="s">
        <v>473</v>
      </c>
      <c r="H419" s="72" t="s">
        <v>292</v>
      </c>
      <c r="I419" s="21"/>
      <c r="J419" s="21"/>
      <c r="K419" s="51"/>
      <c r="L419" s="26"/>
      <c r="M419" s="26"/>
      <c r="N419" s="26"/>
      <c r="O419" s="26"/>
      <c r="P419" s="26"/>
      <c r="Q419" s="26"/>
      <c r="R419" s="26"/>
      <c r="S419" s="26"/>
      <c r="T419" s="26"/>
      <c r="U419" s="26"/>
      <c r="V419" s="26"/>
      <c r="W419" s="26"/>
      <c r="X419" s="26"/>
      <c r="Y419" s="26"/>
      <c r="Z419" s="26"/>
    </row>
    <row r="420" spans="1:26" ht="25.5" x14ac:dyDescent="0.2">
      <c r="A420" s="73"/>
      <c r="B420" s="74"/>
      <c r="C420" s="75"/>
      <c r="D420" s="82" t="s">
        <v>43</v>
      </c>
      <c r="E420" s="83" t="s">
        <v>474</v>
      </c>
      <c r="F420" s="84"/>
      <c r="G420" s="85"/>
      <c r="H420" s="75"/>
      <c r="I420" s="75">
        <v>4</v>
      </c>
      <c r="J420" s="75"/>
      <c r="K420" s="86">
        <v>0.5</v>
      </c>
      <c r="L420" s="28"/>
      <c r="M420" s="28"/>
      <c r="N420" s="28"/>
      <c r="O420" s="28"/>
      <c r="P420" s="28"/>
      <c r="Q420" s="28"/>
      <c r="R420" s="28"/>
      <c r="S420" s="28"/>
      <c r="T420" s="28"/>
      <c r="U420" s="28"/>
      <c r="V420" s="28"/>
      <c r="W420" s="28"/>
      <c r="X420" s="28"/>
      <c r="Y420" s="28"/>
      <c r="Z420" s="28"/>
    </row>
    <row r="421" spans="1:26" ht="12.75" x14ac:dyDescent="0.2">
      <c r="A421" s="73"/>
      <c r="B421" s="74"/>
      <c r="C421" s="75"/>
      <c r="D421" s="82"/>
      <c r="E421" s="83"/>
      <c r="F421" s="84">
        <v>0</v>
      </c>
      <c r="G421" s="85" t="s">
        <v>50</v>
      </c>
      <c r="H421" s="75"/>
      <c r="I421" s="75"/>
      <c r="J421" s="75"/>
      <c r="K421" s="86"/>
      <c r="L421" s="28"/>
      <c r="M421" s="28"/>
      <c r="N421" s="28"/>
      <c r="O421" s="28"/>
      <c r="P421" s="28"/>
      <c r="Q421" s="28"/>
      <c r="R421" s="28"/>
      <c r="S421" s="28"/>
      <c r="T421" s="28"/>
      <c r="U421" s="28"/>
      <c r="V421" s="28"/>
      <c r="W421" s="28"/>
      <c r="X421" s="28"/>
      <c r="Y421" s="28"/>
      <c r="Z421" s="28"/>
    </row>
    <row r="422" spans="1:26" ht="12.75" x14ac:dyDescent="0.2">
      <c r="A422" s="73"/>
      <c r="B422" s="87"/>
      <c r="C422" s="75"/>
      <c r="D422" s="84"/>
      <c r="E422" s="87"/>
      <c r="F422" s="84">
        <v>1</v>
      </c>
      <c r="G422" s="85" t="s">
        <v>51</v>
      </c>
      <c r="H422" s="75"/>
      <c r="I422" s="75"/>
      <c r="J422" s="75"/>
      <c r="K422" s="86"/>
      <c r="L422" s="28"/>
      <c r="M422" s="28"/>
      <c r="N422" s="28"/>
      <c r="O422" s="28"/>
      <c r="P422" s="28"/>
      <c r="Q422" s="28"/>
      <c r="R422" s="28"/>
      <c r="S422" s="28"/>
      <c r="T422" s="28"/>
      <c r="U422" s="28"/>
      <c r="V422" s="28"/>
      <c r="W422" s="28"/>
      <c r="X422" s="28"/>
      <c r="Y422" s="28"/>
      <c r="Z422" s="28"/>
    </row>
    <row r="423" spans="1:26" ht="12.75" x14ac:dyDescent="0.2">
      <c r="A423" s="73"/>
      <c r="B423" s="87"/>
      <c r="C423" s="75"/>
      <c r="D423" s="84"/>
      <c r="E423" s="87"/>
      <c r="F423" s="84">
        <v>2</v>
      </c>
      <c r="G423" s="85" t="s">
        <v>52</v>
      </c>
      <c r="H423" s="75"/>
      <c r="I423" s="75"/>
      <c r="J423" s="75"/>
      <c r="K423" s="86"/>
      <c r="L423" s="28"/>
      <c r="M423" s="28"/>
      <c r="N423" s="28"/>
      <c r="O423" s="28"/>
      <c r="P423" s="28"/>
      <c r="Q423" s="28"/>
      <c r="R423" s="28"/>
      <c r="S423" s="28"/>
      <c r="T423" s="28"/>
      <c r="U423" s="28"/>
      <c r="V423" s="28"/>
      <c r="W423" s="28"/>
      <c r="X423" s="28"/>
      <c r="Y423" s="28"/>
      <c r="Z423" s="28"/>
    </row>
    <row r="424" spans="1:26" ht="12.75" x14ac:dyDescent="0.2">
      <c r="A424" s="73"/>
      <c r="B424" s="87"/>
      <c r="C424" s="75"/>
      <c r="D424" s="84"/>
      <c r="E424" s="87"/>
      <c r="F424" s="84">
        <v>3</v>
      </c>
      <c r="G424" s="85" t="s">
        <v>53</v>
      </c>
      <c r="H424" s="75"/>
      <c r="I424" s="75"/>
      <c r="J424" s="75"/>
      <c r="K424" s="86"/>
      <c r="L424" s="28"/>
      <c r="M424" s="28"/>
      <c r="N424" s="28"/>
      <c r="O424" s="28"/>
      <c r="P424" s="28"/>
      <c r="Q424" s="28"/>
      <c r="R424" s="28"/>
      <c r="S424" s="28"/>
      <c r="T424" s="28"/>
      <c r="U424" s="28"/>
      <c r="V424" s="28"/>
      <c r="W424" s="28"/>
      <c r="X424" s="28"/>
      <c r="Y424" s="28"/>
      <c r="Z424" s="28"/>
    </row>
    <row r="425" spans="1:26" ht="12.75" x14ac:dyDescent="0.2">
      <c r="A425" s="21"/>
      <c r="B425" s="35"/>
      <c r="C425" s="21"/>
      <c r="D425" s="80" t="s">
        <v>43</v>
      </c>
      <c r="E425" s="79" t="s">
        <v>475</v>
      </c>
      <c r="F425" s="80"/>
      <c r="G425" s="81"/>
      <c r="H425" s="72"/>
      <c r="I425" s="21">
        <v>4</v>
      </c>
      <c r="J425" s="21"/>
      <c r="K425" s="51">
        <v>0.5</v>
      </c>
      <c r="L425" s="26"/>
      <c r="M425" s="26"/>
      <c r="N425" s="26"/>
      <c r="O425" s="26"/>
      <c r="P425" s="26"/>
      <c r="Q425" s="26"/>
      <c r="R425" s="26"/>
      <c r="S425" s="26"/>
      <c r="T425" s="26"/>
      <c r="U425" s="26"/>
      <c r="V425" s="26"/>
      <c r="W425" s="26"/>
      <c r="X425" s="26"/>
      <c r="Y425" s="26"/>
      <c r="Z425" s="26"/>
    </row>
    <row r="426" spans="1:26" ht="38.25" x14ac:dyDescent="0.2">
      <c r="A426" s="21"/>
      <c r="B426" s="35"/>
      <c r="C426" s="21"/>
      <c r="D426" s="80"/>
      <c r="E426" s="79"/>
      <c r="F426" s="80">
        <v>0</v>
      </c>
      <c r="G426" s="81" t="s">
        <v>131</v>
      </c>
      <c r="H426" s="72"/>
      <c r="I426" s="21"/>
      <c r="J426" s="21"/>
      <c r="K426" s="51"/>
      <c r="L426" s="26"/>
      <c r="M426" s="26"/>
      <c r="N426" s="26"/>
      <c r="O426" s="26"/>
      <c r="P426" s="26"/>
      <c r="Q426" s="26"/>
      <c r="R426" s="26"/>
      <c r="S426" s="26"/>
      <c r="T426" s="26"/>
      <c r="U426" s="26"/>
      <c r="V426" s="26"/>
      <c r="W426" s="26"/>
      <c r="X426" s="26"/>
      <c r="Y426" s="26"/>
      <c r="Z426" s="26"/>
    </row>
    <row r="427" spans="1:26" ht="25.5" x14ac:dyDescent="0.2">
      <c r="A427" s="21"/>
      <c r="B427" s="35"/>
      <c r="C427" s="21"/>
      <c r="D427" s="80"/>
      <c r="E427" s="79"/>
      <c r="F427" s="80">
        <v>1</v>
      </c>
      <c r="G427" s="81" t="s">
        <v>132</v>
      </c>
      <c r="H427" s="72"/>
      <c r="I427" s="21"/>
      <c r="J427" s="21"/>
      <c r="K427" s="51"/>
      <c r="L427" s="26"/>
      <c r="M427" s="26"/>
      <c r="N427" s="26"/>
      <c r="O427" s="26"/>
      <c r="P427" s="26"/>
      <c r="Q427" s="26"/>
      <c r="R427" s="26"/>
      <c r="S427" s="26"/>
      <c r="T427" s="26"/>
      <c r="U427" s="26"/>
      <c r="V427" s="26"/>
      <c r="W427" s="26"/>
      <c r="X427" s="26"/>
      <c r="Y427" s="26"/>
      <c r="Z427" s="26"/>
    </row>
    <row r="428" spans="1:26" ht="25.5" x14ac:dyDescent="0.2">
      <c r="A428" s="21"/>
      <c r="B428" s="35"/>
      <c r="C428" s="21"/>
      <c r="D428" s="80"/>
      <c r="E428" s="79"/>
      <c r="F428" s="80">
        <v>2</v>
      </c>
      <c r="G428" s="81" t="s">
        <v>133</v>
      </c>
      <c r="H428" s="72"/>
      <c r="I428" s="21"/>
      <c r="J428" s="21"/>
      <c r="K428" s="51"/>
      <c r="L428" s="26"/>
      <c r="M428" s="26"/>
      <c r="N428" s="26"/>
      <c r="O428" s="26"/>
      <c r="P428" s="26"/>
      <c r="Q428" s="26"/>
      <c r="R428" s="26"/>
      <c r="S428" s="26"/>
      <c r="T428" s="26"/>
      <c r="U428" s="26"/>
      <c r="V428" s="26"/>
      <c r="W428" s="26"/>
      <c r="X428" s="26"/>
      <c r="Y428" s="26"/>
      <c r="Z428" s="26"/>
    </row>
    <row r="429" spans="1:26" ht="51" x14ac:dyDescent="0.2">
      <c r="A429" s="21"/>
      <c r="B429" s="35"/>
      <c r="C429" s="21"/>
      <c r="D429" s="80"/>
      <c r="E429" s="79"/>
      <c r="F429" s="80">
        <v>3</v>
      </c>
      <c r="G429" s="81" t="s">
        <v>134</v>
      </c>
      <c r="H429" s="72"/>
      <c r="I429" s="21"/>
      <c r="J429" s="21"/>
      <c r="K429" s="51"/>
      <c r="L429" s="26"/>
      <c r="M429" s="26"/>
      <c r="N429" s="26"/>
      <c r="O429" s="26"/>
      <c r="P429" s="26"/>
      <c r="Q429" s="26"/>
      <c r="R429" s="26"/>
      <c r="S429" s="26"/>
      <c r="T429" s="26"/>
      <c r="U429" s="26"/>
      <c r="V429" s="26"/>
      <c r="W429" s="26"/>
      <c r="X429" s="26"/>
      <c r="Y429" s="26"/>
      <c r="Z429" s="26"/>
    </row>
    <row r="430" spans="1:26" ht="12.75" x14ac:dyDescent="0.2">
      <c r="A430" s="21" t="s">
        <v>476</v>
      </c>
      <c r="B430" s="35" t="s">
        <v>55</v>
      </c>
      <c r="C430" s="21">
        <v>3</v>
      </c>
      <c r="D430" s="88"/>
      <c r="E430" s="54"/>
      <c r="F430" s="88"/>
      <c r="G430" s="54"/>
      <c r="H430" s="89"/>
      <c r="I430" s="21"/>
      <c r="J430" s="21"/>
      <c r="K430" s="51"/>
      <c r="L430" s="26"/>
      <c r="M430" s="26"/>
      <c r="N430" s="26"/>
      <c r="O430" s="26"/>
      <c r="P430" s="26"/>
      <c r="Q430" s="26"/>
      <c r="R430" s="26"/>
      <c r="S430" s="26"/>
      <c r="T430" s="26"/>
      <c r="U430" s="26"/>
      <c r="V430" s="26"/>
      <c r="W430" s="26"/>
      <c r="X430" s="26"/>
      <c r="Y430" s="26"/>
      <c r="Z430" s="26"/>
    </row>
    <row r="431" spans="1:26" ht="76.5" x14ac:dyDescent="0.2">
      <c r="A431" s="21"/>
      <c r="B431" s="35"/>
      <c r="C431" s="21"/>
      <c r="D431" s="21" t="s">
        <v>67</v>
      </c>
      <c r="E431" s="35" t="s">
        <v>477</v>
      </c>
      <c r="F431" s="21" t="s">
        <v>292</v>
      </c>
      <c r="G431" s="35" t="s">
        <v>478</v>
      </c>
      <c r="H431" s="89" t="s">
        <v>69</v>
      </c>
      <c r="I431" s="21">
        <v>5</v>
      </c>
      <c r="J431" s="21"/>
      <c r="K431" s="51">
        <v>0.5</v>
      </c>
      <c r="L431" s="26"/>
      <c r="M431" s="26"/>
      <c r="N431" s="26"/>
      <c r="O431" s="26"/>
      <c r="P431" s="26"/>
      <c r="Q431" s="26"/>
      <c r="R431" s="26"/>
      <c r="S431" s="26"/>
      <c r="T431" s="26"/>
      <c r="U431" s="26"/>
      <c r="V431" s="26"/>
      <c r="W431" s="26"/>
      <c r="X431" s="26"/>
      <c r="Y431" s="26"/>
      <c r="Z431" s="26"/>
    </row>
    <row r="432" spans="1:26" ht="153" x14ac:dyDescent="0.2">
      <c r="A432" s="21"/>
      <c r="B432" s="35"/>
      <c r="C432" s="21"/>
      <c r="D432" s="21" t="s">
        <v>67</v>
      </c>
      <c r="E432" s="35" t="s">
        <v>479</v>
      </c>
      <c r="F432" s="21" t="s">
        <v>292</v>
      </c>
      <c r="G432" s="35" t="s">
        <v>480</v>
      </c>
      <c r="H432" s="89" t="s">
        <v>69</v>
      </c>
      <c r="I432" s="21">
        <v>5</v>
      </c>
      <c r="J432" s="21"/>
      <c r="K432" s="51">
        <v>0.75</v>
      </c>
      <c r="L432" s="26"/>
      <c r="M432" s="26"/>
      <c r="N432" s="26"/>
      <c r="O432" s="26"/>
      <c r="P432" s="26"/>
      <c r="Q432" s="26"/>
      <c r="R432" s="26"/>
      <c r="S432" s="26"/>
      <c r="T432" s="26"/>
      <c r="U432" s="26"/>
      <c r="V432" s="26"/>
      <c r="W432" s="26"/>
      <c r="X432" s="26"/>
      <c r="Y432" s="26"/>
      <c r="Z432" s="26"/>
    </row>
    <row r="433" spans="1:26" ht="38.25" x14ac:dyDescent="0.2">
      <c r="A433" s="21" t="s">
        <v>481</v>
      </c>
      <c r="B433" s="35" t="s">
        <v>482</v>
      </c>
      <c r="C433" s="21">
        <v>3</v>
      </c>
      <c r="D433" s="34"/>
      <c r="E433" s="35"/>
      <c r="F433" s="34"/>
      <c r="G433" s="35"/>
      <c r="H433" s="89"/>
      <c r="I433" s="72"/>
      <c r="J433" s="72"/>
      <c r="K433" s="51"/>
      <c r="L433" s="26"/>
      <c r="M433" s="26"/>
      <c r="N433" s="26"/>
      <c r="O433" s="26"/>
      <c r="P433" s="26"/>
      <c r="Q433" s="26"/>
      <c r="R433" s="26"/>
      <c r="S433" s="26"/>
      <c r="T433" s="26"/>
      <c r="U433" s="26"/>
      <c r="V433" s="26"/>
      <c r="W433" s="26"/>
      <c r="X433" s="26"/>
      <c r="Y433" s="26"/>
      <c r="Z433" s="26"/>
    </row>
    <row r="434" spans="1:26" ht="51" x14ac:dyDescent="0.2">
      <c r="A434" s="21"/>
      <c r="B434" s="35"/>
      <c r="C434" s="21"/>
      <c r="D434" s="34" t="s">
        <v>67</v>
      </c>
      <c r="E434" s="35" t="s">
        <v>483</v>
      </c>
      <c r="F434" s="34" t="s">
        <v>292</v>
      </c>
      <c r="G434" s="35" t="s">
        <v>484</v>
      </c>
      <c r="H434" s="89" t="s">
        <v>69</v>
      </c>
      <c r="I434" s="72">
        <v>3</v>
      </c>
      <c r="J434" s="72"/>
      <c r="K434" s="51">
        <v>0.75</v>
      </c>
      <c r="L434" s="26"/>
      <c r="M434" s="26"/>
      <c r="N434" s="26"/>
      <c r="O434" s="26"/>
      <c r="P434" s="26"/>
      <c r="Q434" s="26"/>
      <c r="R434" s="26"/>
      <c r="S434" s="26"/>
      <c r="T434" s="26"/>
      <c r="U434" s="26"/>
      <c r="V434" s="26"/>
      <c r="W434" s="26"/>
      <c r="X434" s="26"/>
      <c r="Y434" s="26"/>
      <c r="Z434" s="26"/>
    </row>
    <row r="435" spans="1:26" ht="76.5" x14ac:dyDescent="0.2">
      <c r="A435" s="21"/>
      <c r="B435" s="35"/>
      <c r="C435" s="21"/>
      <c r="D435" s="21" t="s">
        <v>67</v>
      </c>
      <c r="E435" s="35" t="s">
        <v>485</v>
      </c>
      <c r="F435" s="21" t="s">
        <v>292</v>
      </c>
      <c r="G435" s="35" t="s">
        <v>486</v>
      </c>
      <c r="H435" s="89" t="s">
        <v>69</v>
      </c>
      <c r="I435" s="21">
        <v>5</v>
      </c>
      <c r="J435" s="21"/>
      <c r="K435" s="51">
        <v>0.5</v>
      </c>
      <c r="L435" s="26"/>
      <c r="M435" s="26"/>
      <c r="N435" s="26"/>
      <c r="O435" s="26"/>
      <c r="P435" s="26"/>
      <c r="Q435" s="26"/>
      <c r="R435" s="26"/>
      <c r="S435" s="26"/>
      <c r="T435" s="26"/>
      <c r="U435" s="26"/>
      <c r="V435" s="26"/>
      <c r="W435" s="26"/>
      <c r="X435" s="26"/>
      <c r="Y435" s="26"/>
      <c r="Z435" s="26"/>
    </row>
    <row r="436" spans="1:26" ht="12.75" x14ac:dyDescent="0.2">
      <c r="A436" s="21"/>
      <c r="B436" s="35"/>
      <c r="C436" s="21"/>
      <c r="D436" s="21" t="s">
        <v>67</v>
      </c>
      <c r="E436" s="35" t="s">
        <v>487</v>
      </c>
      <c r="F436" s="34" t="s">
        <v>292</v>
      </c>
      <c r="G436" s="35" t="s">
        <v>488</v>
      </c>
      <c r="H436" s="89" t="s">
        <v>69</v>
      </c>
      <c r="I436" s="21">
        <v>1</v>
      </c>
      <c r="J436" s="21"/>
      <c r="K436" s="51">
        <v>0.75</v>
      </c>
      <c r="L436" s="26"/>
      <c r="M436" s="26"/>
      <c r="N436" s="26"/>
      <c r="O436" s="26"/>
      <c r="P436" s="26"/>
      <c r="Q436" s="26"/>
      <c r="R436" s="26"/>
      <c r="S436" s="26"/>
      <c r="T436" s="26"/>
      <c r="U436" s="26"/>
      <c r="V436" s="26"/>
      <c r="W436" s="26"/>
      <c r="X436" s="26"/>
      <c r="Y436" s="26"/>
      <c r="Z436" s="26"/>
    </row>
    <row r="437" spans="1:26" ht="12.75" x14ac:dyDescent="0.2">
      <c r="A437" s="21" t="s">
        <v>489</v>
      </c>
      <c r="B437" s="35" t="s">
        <v>55</v>
      </c>
      <c r="C437" s="21">
        <v>3</v>
      </c>
      <c r="D437" s="34"/>
      <c r="E437" s="35"/>
      <c r="F437" s="34"/>
      <c r="G437" s="35"/>
      <c r="H437" s="89"/>
      <c r="I437" s="72"/>
      <c r="J437" s="72"/>
      <c r="K437" s="51"/>
      <c r="L437" s="26"/>
      <c r="M437" s="26"/>
      <c r="N437" s="26"/>
      <c r="O437" s="26"/>
      <c r="P437" s="26"/>
      <c r="Q437" s="26"/>
      <c r="R437" s="26"/>
      <c r="S437" s="26"/>
      <c r="T437" s="26"/>
      <c r="U437" s="26"/>
      <c r="V437" s="26"/>
      <c r="W437" s="26"/>
      <c r="X437" s="26"/>
      <c r="Y437" s="26"/>
      <c r="Z437" s="26"/>
    </row>
    <row r="438" spans="1:26" ht="63.75" x14ac:dyDescent="0.2">
      <c r="A438" s="21"/>
      <c r="B438" s="35"/>
      <c r="C438" s="21"/>
      <c r="D438" s="34" t="s">
        <v>67</v>
      </c>
      <c r="E438" s="35" t="s">
        <v>490</v>
      </c>
      <c r="F438" s="34"/>
      <c r="G438" s="35" t="s">
        <v>491</v>
      </c>
      <c r="H438" s="89" t="s">
        <v>69</v>
      </c>
      <c r="I438" s="72">
        <v>3</v>
      </c>
      <c r="J438" s="72"/>
      <c r="K438" s="51">
        <v>0.25</v>
      </c>
      <c r="L438" s="26"/>
      <c r="M438" s="26"/>
      <c r="N438" s="26"/>
      <c r="O438" s="26"/>
      <c r="P438" s="26"/>
      <c r="Q438" s="26"/>
      <c r="R438" s="26"/>
      <c r="S438" s="26"/>
      <c r="T438" s="26"/>
      <c r="U438" s="26"/>
      <c r="V438" s="26"/>
      <c r="W438" s="26"/>
      <c r="X438" s="26"/>
      <c r="Y438" s="26"/>
      <c r="Z438" s="26"/>
    </row>
    <row r="439" spans="1:26" ht="153" x14ac:dyDescent="0.2">
      <c r="A439" s="21"/>
      <c r="B439" s="35"/>
      <c r="C439" s="21"/>
      <c r="D439" s="21" t="s">
        <v>67</v>
      </c>
      <c r="E439" s="35" t="s">
        <v>492</v>
      </c>
      <c r="F439" s="34" t="s">
        <v>292</v>
      </c>
      <c r="G439" s="35" t="s">
        <v>493</v>
      </c>
      <c r="H439" s="89" t="s">
        <v>69</v>
      </c>
      <c r="I439" s="21">
        <v>5</v>
      </c>
      <c r="J439" s="21"/>
      <c r="K439" s="51">
        <v>0.5</v>
      </c>
      <c r="L439" s="26"/>
      <c r="M439" s="26"/>
      <c r="N439" s="26"/>
      <c r="O439" s="26"/>
      <c r="P439" s="26"/>
      <c r="Q439" s="26"/>
      <c r="R439" s="26"/>
      <c r="S439" s="26"/>
      <c r="T439" s="26"/>
      <c r="U439" s="26"/>
      <c r="V439" s="26"/>
      <c r="W439" s="26"/>
      <c r="X439" s="26"/>
      <c r="Y439" s="26"/>
      <c r="Z439" s="26"/>
    </row>
    <row r="440" spans="1:26" ht="12.75" x14ac:dyDescent="0.2">
      <c r="A440" s="21"/>
      <c r="B440" s="35"/>
      <c r="C440" s="21"/>
      <c r="D440" s="21" t="s">
        <v>67</v>
      </c>
      <c r="E440" s="35" t="s">
        <v>494</v>
      </c>
      <c r="F440" s="34"/>
      <c r="G440" s="35" t="s">
        <v>495</v>
      </c>
      <c r="H440" s="89" t="s">
        <v>69</v>
      </c>
      <c r="I440" s="21">
        <v>5</v>
      </c>
      <c r="J440" s="21"/>
      <c r="K440" s="51">
        <v>0.25</v>
      </c>
      <c r="L440" s="26"/>
      <c r="M440" s="26"/>
      <c r="N440" s="26"/>
      <c r="O440" s="26"/>
      <c r="P440" s="26"/>
      <c r="Q440" s="26"/>
      <c r="R440" s="26"/>
      <c r="S440" s="26"/>
      <c r="T440" s="26"/>
      <c r="U440" s="26"/>
      <c r="V440" s="26"/>
      <c r="W440" s="26"/>
      <c r="X440" s="26"/>
      <c r="Y440" s="26"/>
      <c r="Z440" s="26"/>
    </row>
    <row r="441" spans="1:26" ht="25.5" x14ac:dyDescent="0.2">
      <c r="A441" s="21" t="s">
        <v>496</v>
      </c>
      <c r="B441" s="35" t="s">
        <v>145</v>
      </c>
      <c r="C441" s="21">
        <v>3</v>
      </c>
      <c r="D441" s="21"/>
      <c r="E441" s="35"/>
      <c r="F441" s="34"/>
      <c r="G441" s="35"/>
      <c r="H441" s="89"/>
      <c r="I441" s="21"/>
      <c r="J441" s="21"/>
      <c r="K441" s="51"/>
      <c r="L441" s="26"/>
      <c r="M441" s="26"/>
      <c r="N441" s="26"/>
      <c r="O441" s="26"/>
      <c r="P441" s="26"/>
      <c r="Q441" s="26"/>
      <c r="R441" s="26"/>
      <c r="S441" s="26"/>
      <c r="T441" s="26"/>
      <c r="U441" s="26"/>
      <c r="V441" s="26"/>
      <c r="W441" s="26"/>
      <c r="X441" s="26"/>
      <c r="Y441" s="26"/>
      <c r="Z441" s="26"/>
    </row>
    <row r="442" spans="1:26" ht="153" x14ac:dyDescent="0.2">
      <c r="A442" s="21"/>
      <c r="B442" s="35"/>
      <c r="C442" s="21"/>
      <c r="D442" s="21" t="s">
        <v>67</v>
      </c>
      <c r="E442" s="35" t="s">
        <v>497</v>
      </c>
      <c r="F442" s="34" t="s">
        <v>292</v>
      </c>
      <c r="G442" s="35" t="s">
        <v>498</v>
      </c>
      <c r="H442" s="89" t="s">
        <v>69</v>
      </c>
      <c r="I442" s="21">
        <v>5</v>
      </c>
      <c r="J442" s="21"/>
      <c r="K442" s="51">
        <v>0.5</v>
      </c>
      <c r="L442" s="26"/>
      <c r="M442" s="26"/>
      <c r="N442" s="26"/>
      <c r="O442" s="26"/>
      <c r="P442" s="26"/>
      <c r="Q442" s="26"/>
      <c r="R442" s="26"/>
      <c r="S442" s="26"/>
      <c r="T442" s="26"/>
      <c r="U442" s="26"/>
      <c r="V442" s="26"/>
      <c r="W442" s="26"/>
      <c r="X442" s="26"/>
      <c r="Y442" s="26"/>
      <c r="Z442" s="26"/>
    </row>
    <row r="443" spans="1:26" ht="89.25" x14ac:dyDescent="0.2">
      <c r="A443" s="21"/>
      <c r="B443" s="35" t="s">
        <v>292</v>
      </c>
      <c r="C443" s="21" t="s">
        <v>292</v>
      </c>
      <c r="D443" s="21" t="s">
        <v>67</v>
      </c>
      <c r="E443" s="35" t="s">
        <v>499</v>
      </c>
      <c r="F443" s="21" t="s">
        <v>292</v>
      </c>
      <c r="G443" s="35" t="s">
        <v>500</v>
      </c>
      <c r="H443" s="89" t="s">
        <v>69</v>
      </c>
      <c r="I443" s="21">
        <v>5</v>
      </c>
      <c r="J443" s="21"/>
      <c r="K443" s="51">
        <v>0.25</v>
      </c>
      <c r="L443" s="26"/>
      <c r="M443" s="26"/>
      <c r="N443" s="26"/>
      <c r="O443" s="26"/>
      <c r="P443" s="26"/>
      <c r="Q443" s="26"/>
      <c r="R443" s="26"/>
      <c r="S443" s="26"/>
      <c r="T443" s="26"/>
      <c r="U443" s="26"/>
      <c r="V443" s="26"/>
      <c r="W443" s="26"/>
      <c r="X443" s="26"/>
      <c r="Y443" s="26"/>
      <c r="Z443" s="26"/>
    </row>
    <row r="444" spans="1:26" ht="38.25" x14ac:dyDescent="0.2">
      <c r="A444" s="21" t="s">
        <v>501</v>
      </c>
      <c r="B444" s="35" t="s">
        <v>482</v>
      </c>
      <c r="C444" s="21">
        <v>3</v>
      </c>
      <c r="D444" s="21"/>
      <c r="E444" s="35"/>
      <c r="F444" s="34"/>
      <c r="G444" s="35"/>
      <c r="H444" s="72"/>
      <c r="I444" s="21"/>
      <c r="J444" s="21"/>
      <c r="K444" s="51"/>
      <c r="L444" s="26"/>
      <c r="M444" s="26"/>
      <c r="N444" s="26"/>
      <c r="O444" s="26"/>
      <c r="P444" s="26"/>
      <c r="Q444" s="26"/>
      <c r="R444" s="26"/>
      <c r="S444" s="26"/>
      <c r="T444" s="26"/>
      <c r="U444" s="26"/>
      <c r="V444" s="26"/>
      <c r="W444" s="26"/>
      <c r="X444" s="26"/>
      <c r="Y444" s="26"/>
      <c r="Z444" s="26"/>
    </row>
    <row r="445" spans="1:26" ht="25.5" x14ac:dyDescent="0.2">
      <c r="A445" s="21"/>
      <c r="B445" s="35"/>
      <c r="C445" s="21" t="s">
        <v>292</v>
      </c>
      <c r="D445" s="21" t="s">
        <v>43</v>
      </c>
      <c r="E445" s="35" t="s">
        <v>502</v>
      </c>
      <c r="F445" s="34" t="s">
        <v>292</v>
      </c>
      <c r="G445" s="35" t="s">
        <v>292</v>
      </c>
      <c r="H445" s="72" t="s">
        <v>292</v>
      </c>
      <c r="I445" s="21">
        <v>2</v>
      </c>
      <c r="J445" s="21"/>
      <c r="K445" s="51">
        <v>0.75</v>
      </c>
      <c r="L445" s="26"/>
      <c r="M445" s="26"/>
      <c r="N445" s="26"/>
      <c r="O445" s="26"/>
      <c r="P445" s="26"/>
      <c r="Q445" s="26"/>
      <c r="R445" s="26"/>
      <c r="S445" s="26"/>
      <c r="T445" s="26"/>
      <c r="U445" s="26"/>
      <c r="V445" s="26"/>
      <c r="W445" s="26"/>
      <c r="X445" s="26"/>
      <c r="Y445" s="26"/>
      <c r="Z445" s="26"/>
    </row>
    <row r="446" spans="1:26" ht="12.75" x14ac:dyDescent="0.2">
      <c r="A446" s="21"/>
      <c r="B446" s="35"/>
      <c r="C446" s="21" t="s">
        <v>292</v>
      </c>
      <c r="D446" s="21"/>
      <c r="E446" s="35" t="s">
        <v>292</v>
      </c>
      <c r="F446" s="34">
        <v>0</v>
      </c>
      <c r="G446" s="35" t="s">
        <v>360</v>
      </c>
      <c r="H446" s="72" t="s">
        <v>292</v>
      </c>
      <c r="I446" s="21"/>
      <c r="J446" s="21"/>
      <c r="K446" s="51"/>
      <c r="L446" s="26"/>
      <c r="M446" s="26"/>
      <c r="N446" s="26"/>
      <c r="O446" s="26"/>
      <c r="P446" s="26"/>
      <c r="Q446" s="26"/>
      <c r="R446" s="26"/>
      <c r="S446" s="26"/>
      <c r="T446" s="26"/>
      <c r="U446" s="26"/>
      <c r="V446" s="26"/>
      <c r="W446" s="26"/>
      <c r="X446" s="26"/>
      <c r="Y446" s="26"/>
      <c r="Z446" s="26"/>
    </row>
    <row r="447" spans="1:26" ht="12.75" x14ac:dyDescent="0.2">
      <c r="A447" s="21"/>
      <c r="B447" s="35"/>
      <c r="C447" s="21" t="s">
        <v>292</v>
      </c>
      <c r="D447" s="21"/>
      <c r="E447" s="35" t="s">
        <v>292</v>
      </c>
      <c r="F447" s="34">
        <v>1</v>
      </c>
      <c r="G447" s="35" t="s">
        <v>503</v>
      </c>
      <c r="H447" s="72" t="s">
        <v>292</v>
      </c>
      <c r="I447" s="21"/>
      <c r="J447" s="21"/>
      <c r="K447" s="51"/>
      <c r="L447" s="26"/>
      <c r="M447" s="26"/>
      <c r="N447" s="26"/>
      <c r="O447" s="26"/>
      <c r="P447" s="26"/>
      <c r="Q447" s="26"/>
      <c r="R447" s="26"/>
      <c r="S447" s="26"/>
      <c r="T447" s="26"/>
      <c r="U447" s="26"/>
      <c r="V447" s="26"/>
      <c r="W447" s="26"/>
      <c r="X447" s="26"/>
      <c r="Y447" s="26"/>
      <c r="Z447" s="26"/>
    </row>
    <row r="448" spans="1:26" ht="12.75" x14ac:dyDescent="0.2">
      <c r="A448" s="21"/>
      <c r="B448" s="35"/>
      <c r="C448" s="21" t="s">
        <v>292</v>
      </c>
      <c r="D448" s="21"/>
      <c r="E448" s="35" t="s">
        <v>292</v>
      </c>
      <c r="F448" s="34">
        <v>2</v>
      </c>
      <c r="G448" s="35" t="s">
        <v>504</v>
      </c>
      <c r="H448" s="72" t="s">
        <v>292</v>
      </c>
      <c r="I448" s="21"/>
      <c r="J448" s="21"/>
      <c r="K448" s="51"/>
      <c r="L448" s="26"/>
      <c r="M448" s="26"/>
      <c r="N448" s="26"/>
      <c r="O448" s="26"/>
      <c r="P448" s="26"/>
      <c r="Q448" s="26"/>
      <c r="R448" s="26"/>
      <c r="S448" s="26"/>
      <c r="T448" s="26"/>
      <c r="U448" s="26"/>
      <c r="V448" s="26"/>
      <c r="W448" s="26"/>
      <c r="X448" s="26"/>
      <c r="Y448" s="26"/>
      <c r="Z448" s="26"/>
    </row>
    <row r="449" spans="1:26" ht="38.25" x14ac:dyDescent="0.2">
      <c r="A449" s="21"/>
      <c r="B449" s="35"/>
      <c r="C449" s="21" t="s">
        <v>292</v>
      </c>
      <c r="D449" s="21"/>
      <c r="E449" s="35" t="s">
        <v>292</v>
      </c>
      <c r="F449" s="34">
        <v>3</v>
      </c>
      <c r="G449" s="35" t="s">
        <v>505</v>
      </c>
      <c r="H449" s="72" t="s">
        <v>292</v>
      </c>
      <c r="I449" s="21"/>
      <c r="J449" s="21"/>
      <c r="K449" s="51"/>
      <c r="L449" s="26"/>
      <c r="M449" s="26"/>
      <c r="N449" s="26"/>
      <c r="O449" s="26"/>
      <c r="P449" s="26"/>
      <c r="Q449" s="26"/>
      <c r="R449" s="26"/>
      <c r="S449" s="26"/>
      <c r="T449" s="26"/>
      <c r="U449" s="26"/>
      <c r="V449" s="26"/>
      <c r="W449" s="26"/>
      <c r="X449" s="26"/>
      <c r="Y449" s="26"/>
      <c r="Z449" s="26"/>
    </row>
    <row r="450" spans="1:26" ht="25.5" x14ac:dyDescent="0.2">
      <c r="A450" s="21"/>
      <c r="B450" s="35"/>
      <c r="C450" s="21"/>
      <c r="D450" s="90" t="s">
        <v>43</v>
      </c>
      <c r="E450" s="79" t="s">
        <v>506</v>
      </c>
      <c r="F450" s="90"/>
      <c r="G450" s="79"/>
      <c r="H450" s="80"/>
      <c r="I450" s="90">
        <v>4</v>
      </c>
      <c r="J450" s="21"/>
      <c r="K450" s="51">
        <v>0.5</v>
      </c>
      <c r="L450" s="26"/>
      <c r="M450" s="26"/>
      <c r="N450" s="26"/>
      <c r="O450" s="26"/>
      <c r="P450" s="26"/>
      <c r="Q450" s="26"/>
      <c r="R450" s="26"/>
      <c r="S450" s="26"/>
      <c r="T450" s="26"/>
      <c r="U450" s="26"/>
      <c r="V450" s="26"/>
      <c r="W450" s="26"/>
      <c r="X450" s="26"/>
      <c r="Y450" s="26"/>
      <c r="Z450" s="26"/>
    </row>
    <row r="451" spans="1:26" ht="25.5" x14ac:dyDescent="0.2">
      <c r="A451" s="21"/>
      <c r="B451" s="35"/>
      <c r="C451" s="21"/>
      <c r="D451" s="90"/>
      <c r="E451" s="79"/>
      <c r="F451" s="90">
        <v>0</v>
      </c>
      <c r="G451" s="79" t="s">
        <v>507</v>
      </c>
      <c r="H451" s="80"/>
      <c r="I451" s="90"/>
      <c r="J451" s="21"/>
      <c r="K451" s="51"/>
      <c r="L451" s="26"/>
      <c r="M451" s="26"/>
      <c r="N451" s="26"/>
      <c r="O451" s="26"/>
      <c r="P451" s="26"/>
      <c r="Q451" s="26"/>
      <c r="R451" s="26"/>
      <c r="S451" s="26"/>
      <c r="T451" s="26"/>
      <c r="U451" s="26"/>
      <c r="V451" s="26"/>
      <c r="W451" s="26"/>
      <c r="X451" s="26"/>
      <c r="Y451" s="26"/>
      <c r="Z451" s="26"/>
    </row>
    <row r="452" spans="1:26" ht="25.5" x14ac:dyDescent="0.2">
      <c r="A452" s="21"/>
      <c r="B452" s="35"/>
      <c r="C452" s="21"/>
      <c r="D452" s="90"/>
      <c r="E452" s="79"/>
      <c r="F452" s="90">
        <v>1</v>
      </c>
      <c r="G452" s="79" t="s">
        <v>508</v>
      </c>
      <c r="H452" s="80"/>
      <c r="I452" s="90"/>
      <c r="J452" s="21"/>
      <c r="K452" s="51"/>
      <c r="L452" s="26"/>
      <c r="M452" s="26"/>
      <c r="N452" s="26"/>
      <c r="O452" s="26"/>
      <c r="P452" s="26"/>
      <c r="Q452" s="26"/>
      <c r="R452" s="26"/>
      <c r="S452" s="26"/>
      <c r="T452" s="26"/>
      <c r="U452" s="26"/>
      <c r="V452" s="26"/>
      <c r="W452" s="26"/>
      <c r="X452" s="26"/>
      <c r="Y452" s="26"/>
      <c r="Z452" s="26"/>
    </row>
    <row r="453" spans="1:26" ht="25.5" x14ac:dyDescent="0.2">
      <c r="A453" s="21"/>
      <c r="B453" s="35"/>
      <c r="C453" s="21"/>
      <c r="D453" s="90"/>
      <c r="E453" s="79"/>
      <c r="F453" s="90">
        <v>2</v>
      </c>
      <c r="G453" s="79" t="s">
        <v>509</v>
      </c>
      <c r="H453" s="80"/>
      <c r="I453" s="90"/>
      <c r="J453" s="21"/>
      <c r="K453" s="51"/>
      <c r="L453" s="26"/>
      <c r="M453" s="26"/>
      <c r="N453" s="26"/>
      <c r="O453" s="26"/>
      <c r="P453" s="26"/>
      <c r="Q453" s="26"/>
      <c r="R453" s="26"/>
      <c r="S453" s="26"/>
      <c r="T453" s="26"/>
      <c r="U453" s="26"/>
      <c r="V453" s="26"/>
      <c r="W453" s="26"/>
      <c r="X453" s="26"/>
      <c r="Y453" s="26"/>
      <c r="Z453" s="26"/>
    </row>
    <row r="454" spans="1:26" ht="25.5" x14ac:dyDescent="0.2">
      <c r="A454" s="21"/>
      <c r="B454" s="35"/>
      <c r="C454" s="21"/>
      <c r="D454" s="90"/>
      <c r="E454" s="79"/>
      <c r="F454" s="90">
        <v>3</v>
      </c>
      <c r="G454" s="79" t="s">
        <v>510</v>
      </c>
      <c r="H454" s="80"/>
      <c r="I454" s="90"/>
      <c r="J454" s="21"/>
      <c r="K454" s="51"/>
      <c r="L454" s="26"/>
      <c r="M454" s="26"/>
      <c r="N454" s="26"/>
      <c r="O454" s="26"/>
      <c r="P454" s="26"/>
      <c r="Q454" s="26"/>
      <c r="R454" s="26"/>
      <c r="S454" s="26"/>
      <c r="T454" s="26"/>
      <c r="U454" s="26"/>
      <c r="V454" s="26"/>
      <c r="W454" s="26"/>
      <c r="X454" s="26"/>
      <c r="Y454" s="26"/>
      <c r="Z454" s="26"/>
    </row>
    <row r="455" spans="1:26" ht="12.75" x14ac:dyDescent="0.2">
      <c r="A455" s="21"/>
      <c r="B455" s="35"/>
      <c r="C455" s="21" t="s">
        <v>292</v>
      </c>
      <c r="D455" s="21" t="s">
        <v>43</v>
      </c>
      <c r="E455" s="35" t="s">
        <v>511</v>
      </c>
      <c r="F455" s="34" t="s">
        <v>292</v>
      </c>
      <c r="G455" s="35" t="s">
        <v>292</v>
      </c>
      <c r="H455" s="72" t="s">
        <v>292</v>
      </c>
      <c r="I455" s="21">
        <v>4</v>
      </c>
      <c r="J455" s="21"/>
      <c r="K455" s="51">
        <v>0.5</v>
      </c>
      <c r="L455" s="26"/>
      <c r="M455" s="26"/>
      <c r="N455" s="26"/>
      <c r="O455" s="26"/>
      <c r="P455" s="26"/>
      <c r="Q455" s="26"/>
      <c r="R455" s="26"/>
      <c r="S455" s="26"/>
      <c r="T455" s="26"/>
      <c r="U455" s="26"/>
      <c r="V455" s="26"/>
      <c r="W455" s="26"/>
      <c r="X455" s="26"/>
      <c r="Y455" s="26"/>
      <c r="Z455" s="26"/>
    </row>
    <row r="456" spans="1:26" ht="25.5" x14ac:dyDescent="0.2">
      <c r="A456" s="21"/>
      <c r="B456" s="35"/>
      <c r="C456" s="21" t="s">
        <v>292</v>
      </c>
      <c r="D456" s="21"/>
      <c r="E456" s="35" t="s">
        <v>292</v>
      </c>
      <c r="F456" s="34">
        <v>0</v>
      </c>
      <c r="G456" s="35" t="s">
        <v>512</v>
      </c>
      <c r="H456" s="72" t="s">
        <v>292</v>
      </c>
      <c r="I456" s="21"/>
      <c r="J456" s="21"/>
      <c r="K456" s="51"/>
      <c r="L456" s="26"/>
      <c r="M456" s="26"/>
      <c r="N456" s="26"/>
      <c r="O456" s="26"/>
      <c r="P456" s="26"/>
      <c r="Q456" s="26"/>
      <c r="R456" s="26"/>
      <c r="S456" s="26"/>
      <c r="T456" s="26"/>
      <c r="U456" s="26"/>
      <c r="V456" s="26"/>
      <c r="W456" s="26"/>
      <c r="X456" s="26"/>
      <c r="Y456" s="26"/>
      <c r="Z456" s="26"/>
    </row>
    <row r="457" spans="1:26" ht="12.75" x14ac:dyDescent="0.2">
      <c r="A457" s="21"/>
      <c r="B457" s="35"/>
      <c r="C457" s="21" t="s">
        <v>292</v>
      </c>
      <c r="D457" s="21"/>
      <c r="E457" s="35" t="s">
        <v>292</v>
      </c>
      <c r="F457" s="34">
        <v>1</v>
      </c>
      <c r="G457" s="35" t="s">
        <v>513</v>
      </c>
      <c r="H457" s="72" t="s">
        <v>292</v>
      </c>
      <c r="I457" s="21"/>
      <c r="J457" s="21"/>
      <c r="K457" s="51"/>
      <c r="L457" s="26"/>
      <c r="M457" s="26"/>
      <c r="N457" s="26"/>
      <c r="O457" s="26"/>
      <c r="P457" s="26"/>
      <c r="Q457" s="26"/>
      <c r="R457" s="26"/>
      <c r="S457" s="26"/>
      <c r="T457" s="26"/>
      <c r="U457" s="26"/>
      <c r="V457" s="26"/>
      <c r="W457" s="26"/>
      <c r="X457" s="26"/>
      <c r="Y457" s="26"/>
      <c r="Z457" s="26"/>
    </row>
    <row r="458" spans="1:26" ht="38.25" x14ac:dyDescent="0.2">
      <c r="A458" s="21"/>
      <c r="B458" s="35"/>
      <c r="C458" s="21" t="s">
        <v>292</v>
      </c>
      <c r="D458" s="21"/>
      <c r="E458" s="35" t="s">
        <v>292</v>
      </c>
      <c r="F458" s="34">
        <v>2</v>
      </c>
      <c r="G458" s="35" t="s">
        <v>514</v>
      </c>
      <c r="H458" s="72" t="s">
        <v>292</v>
      </c>
      <c r="I458" s="21"/>
      <c r="J458" s="21"/>
      <c r="K458" s="51"/>
      <c r="L458" s="26"/>
      <c r="M458" s="26"/>
      <c r="N458" s="26"/>
      <c r="O458" s="26"/>
      <c r="P458" s="26"/>
      <c r="Q458" s="26"/>
      <c r="R458" s="26"/>
      <c r="S458" s="26"/>
      <c r="T458" s="26"/>
      <c r="U458" s="26"/>
      <c r="V458" s="26"/>
      <c r="W458" s="26"/>
      <c r="X458" s="26"/>
      <c r="Y458" s="26"/>
      <c r="Z458" s="26"/>
    </row>
    <row r="459" spans="1:26" ht="51" x14ac:dyDescent="0.2">
      <c r="A459" s="21"/>
      <c r="B459" s="35"/>
      <c r="C459" s="21" t="s">
        <v>292</v>
      </c>
      <c r="D459" s="21"/>
      <c r="E459" s="35" t="s">
        <v>292</v>
      </c>
      <c r="F459" s="34">
        <v>3</v>
      </c>
      <c r="G459" s="35" t="s">
        <v>515</v>
      </c>
      <c r="H459" s="72" t="s">
        <v>292</v>
      </c>
      <c r="I459" s="21"/>
      <c r="J459" s="21"/>
      <c r="K459" s="51"/>
      <c r="L459" s="26"/>
      <c r="M459" s="26"/>
      <c r="N459" s="26"/>
      <c r="O459" s="26"/>
      <c r="P459" s="26"/>
      <c r="Q459" s="26"/>
      <c r="R459" s="26"/>
      <c r="S459" s="26"/>
      <c r="T459" s="26"/>
      <c r="U459" s="26"/>
      <c r="V459" s="26"/>
      <c r="W459" s="26"/>
      <c r="X459" s="26"/>
      <c r="Y459" s="26"/>
      <c r="Z459" s="26"/>
    </row>
    <row r="460" spans="1:26" ht="25.5" x14ac:dyDescent="0.2">
      <c r="A460" s="21"/>
      <c r="B460" s="35"/>
      <c r="C460" s="21" t="s">
        <v>292</v>
      </c>
      <c r="D460" s="21" t="s">
        <v>43</v>
      </c>
      <c r="E460" s="35" t="s">
        <v>516</v>
      </c>
      <c r="F460" s="34" t="s">
        <v>292</v>
      </c>
      <c r="G460" s="35" t="s">
        <v>292</v>
      </c>
      <c r="H460" s="72" t="s">
        <v>292</v>
      </c>
      <c r="I460" s="21">
        <v>4</v>
      </c>
      <c r="J460" s="21"/>
      <c r="K460" s="51">
        <v>0.5</v>
      </c>
      <c r="L460" s="26"/>
      <c r="M460" s="26"/>
      <c r="N460" s="26"/>
      <c r="O460" s="26"/>
      <c r="P460" s="26"/>
      <c r="Q460" s="26"/>
      <c r="R460" s="26"/>
      <c r="S460" s="26"/>
      <c r="T460" s="26"/>
      <c r="U460" s="26"/>
      <c r="V460" s="26"/>
      <c r="W460" s="26"/>
      <c r="X460" s="26"/>
      <c r="Y460" s="26"/>
      <c r="Z460" s="26"/>
    </row>
    <row r="461" spans="1:26" ht="38.25" x14ac:dyDescent="0.2">
      <c r="A461" s="21" t="s">
        <v>292</v>
      </c>
      <c r="B461" s="35"/>
      <c r="C461" s="21" t="s">
        <v>292</v>
      </c>
      <c r="D461" s="21"/>
      <c r="E461" s="35" t="s">
        <v>292</v>
      </c>
      <c r="F461" s="34">
        <v>0</v>
      </c>
      <c r="G461" s="35" t="s">
        <v>218</v>
      </c>
      <c r="H461" s="72" t="s">
        <v>292</v>
      </c>
      <c r="I461" s="21"/>
      <c r="J461" s="21"/>
      <c r="K461" s="51"/>
      <c r="L461" s="26"/>
      <c r="M461" s="26"/>
      <c r="N461" s="26"/>
      <c r="O461" s="26"/>
      <c r="P461" s="26"/>
      <c r="Q461" s="26"/>
      <c r="R461" s="26"/>
      <c r="S461" s="26"/>
      <c r="T461" s="26"/>
      <c r="U461" s="26"/>
      <c r="V461" s="26"/>
      <c r="W461" s="26"/>
      <c r="X461" s="26"/>
      <c r="Y461" s="26"/>
      <c r="Z461" s="26"/>
    </row>
    <row r="462" spans="1:26" ht="38.25" x14ac:dyDescent="0.2">
      <c r="A462" s="21" t="s">
        <v>292</v>
      </c>
      <c r="B462" s="35"/>
      <c r="C462" s="21" t="s">
        <v>292</v>
      </c>
      <c r="D462" s="21"/>
      <c r="E462" s="35" t="s">
        <v>292</v>
      </c>
      <c r="F462" s="34">
        <v>1</v>
      </c>
      <c r="G462" s="35" t="s">
        <v>517</v>
      </c>
      <c r="H462" s="72" t="s">
        <v>292</v>
      </c>
      <c r="I462" s="21"/>
      <c r="J462" s="21"/>
      <c r="K462" s="51"/>
      <c r="L462" s="26"/>
      <c r="M462" s="26"/>
      <c r="N462" s="26"/>
      <c r="O462" s="26"/>
      <c r="P462" s="26"/>
      <c r="Q462" s="26"/>
      <c r="R462" s="26"/>
      <c r="S462" s="26"/>
      <c r="T462" s="26"/>
      <c r="U462" s="26"/>
      <c r="V462" s="26"/>
      <c r="W462" s="26"/>
      <c r="X462" s="26"/>
      <c r="Y462" s="26"/>
      <c r="Z462" s="26"/>
    </row>
    <row r="463" spans="1:26" ht="25.5" x14ac:dyDescent="0.2">
      <c r="A463" s="21" t="s">
        <v>292</v>
      </c>
      <c r="B463" s="35"/>
      <c r="C463" s="21" t="s">
        <v>292</v>
      </c>
      <c r="D463" s="21"/>
      <c r="E463" s="35" t="s">
        <v>292</v>
      </c>
      <c r="F463" s="34">
        <v>2</v>
      </c>
      <c r="G463" s="35" t="s">
        <v>518</v>
      </c>
      <c r="H463" s="72" t="s">
        <v>292</v>
      </c>
      <c r="I463" s="21"/>
      <c r="J463" s="21"/>
      <c r="K463" s="51"/>
      <c r="L463" s="26"/>
      <c r="M463" s="26"/>
      <c r="N463" s="26"/>
      <c r="O463" s="26"/>
      <c r="P463" s="26"/>
      <c r="Q463" s="26"/>
      <c r="R463" s="26"/>
      <c r="S463" s="26"/>
      <c r="T463" s="26"/>
      <c r="U463" s="26"/>
      <c r="V463" s="26"/>
      <c r="W463" s="26"/>
      <c r="X463" s="26"/>
      <c r="Y463" s="26"/>
      <c r="Z463" s="26"/>
    </row>
    <row r="464" spans="1:26" ht="38.25" x14ac:dyDescent="0.2">
      <c r="A464" s="21" t="s">
        <v>292</v>
      </c>
      <c r="B464" s="35"/>
      <c r="C464" s="21" t="s">
        <v>292</v>
      </c>
      <c r="D464" s="21"/>
      <c r="E464" s="35" t="s">
        <v>292</v>
      </c>
      <c r="F464" s="34">
        <v>3</v>
      </c>
      <c r="G464" s="35" t="s">
        <v>519</v>
      </c>
      <c r="H464" s="72" t="s">
        <v>292</v>
      </c>
      <c r="I464" s="21"/>
      <c r="J464" s="21"/>
      <c r="K464" s="51"/>
      <c r="L464" s="26"/>
      <c r="M464" s="26"/>
      <c r="N464" s="26"/>
      <c r="O464" s="26"/>
      <c r="P464" s="26"/>
      <c r="Q464" s="26"/>
      <c r="R464" s="26"/>
      <c r="S464" s="26"/>
      <c r="T464" s="26"/>
      <c r="U464" s="26"/>
      <c r="V464" s="26"/>
      <c r="W464" s="26"/>
      <c r="X464" s="26"/>
      <c r="Y464" s="26"/>
      <c r="Z464" s="26"/>
    </row>
    <row r="465" spans="1:26" ht="38.25" x14ac:dyDescent="0.2">
      <c r="A465" s="21" t="s">
        <v>520</v>
      </c>
      <c r="B465" s="35" t="s">
        <v>482</v>
      </c>
      <c r="C465" s="21">
        <v>3</v>
      </c>
      <c r="D465" s="77"/>
      <c r="E465" s="76"/>
      <c r="F465" s="77"/>
      <c r="G465" s="76"/>
      <c r="H465" s="72"/>
      <c r="I465" s="21"/>
      <c r="J465" s="21"/>
      <c r="K465" s="51"/>
      <c r="L465" s="26"/>
      <c r="M465" s="26"/>
      <c r="N465" s="26"/>
      <c r="O465" s="26"/>
      <c r="P465" s="26"/>
      <c r="Q465" s="26"/>
      <c r="R465" s="26"/>
      <c r="S465" s="26"/>
      <c r="T465" s="26"/>
      <c r="U465" s="26"/>
      <c r="V465" s="26"/>
      <c r="W465" s="26"/>
      <c r="X465" s="26"/>
      <c r="Y465" s="26"/>
      <c r="Z465" s="26"/>
    </row>
    <row r="466" spans="1:26" ht="38.25" x14ac:dyDescent="0.2">
      <c r="A466" s="21"/>
      <c r="B466" s="35"/>
      <c r="C466" s="21"/>
      <c r="D466" s="80" t="s">
        <v>43</v>
      </c>
      <c r="E466" s="79" t="s">
        <v>521</v>
      </c>
      <c r="F466" s="80"/>
      <c r="G466" s="79"/>
      <c r="H466" s="72"/>
      <c r="I466" s="21">
        <v>4</v>
      </c>
      <c r="J466" s="21"/>
      <c r="K466" s="51">
        <v>0.5</v>
      </c>
      <c r="L466" s="26"/>
      <c r="M466" s="26"/>
      <c r="N466" s="26"/>
      <c r="O466" s="26"/>
      <c r="P466" s="26"/>
      <c r="Q466" s="26"/>
      <c r="R466" s="26"/>
      <c r="S466" s="26"/>
      <c r="T466" s="26"/>
      <c r="U466" s="26"/>
      <c r="V466" s="26"/>
      <c r="W466" s="26"/>
      <c r="X466" s="26"/>
      <c r="Y466" s="26"/>
      <c r="Z466" s="26"/>
    </row>
    <row r="467" spans="1:26" ht="25.5" x14ac:dyDescent="0.2">
      <c r="A467" s="21"/>
      <c r="B467" s="35"/>
      <c r="C467" s="21"/>
      <c r="D467" s="80"/>
      <c r="E467" s="79"/>
      <c r="F467" s="80">
        <v>0</v>
      </c>
      <c r="G467" s="79" t="s">
        <v>522</v>
      </c>
      <c r="H467" s="72"/>
      <c r="I467" s="21"/>
      <c r="J467" s="21"/>
      <c r="K467" s="51"/>
      <c r="L467" s="26"/>
      <c r="M467" s="26"/>
      <c r="N467" s="26"/>
      <c r="O467" s="26"/>
      <c r="P467" s="26"/>
      <c r="Q467" s="26"/>
      <c r="R467" s="26"/>
      <c r="S467" s="26"/>
      <c r="T467" s="26"/>
      <c r="U467" s="26"/>
      <c r="V467" s="26"/>
      <c r="W467" s="26"/>
      <c r="X467" s="26"/>
      <c r="Y467" s="26"/>
      <c r="Z467" s="26"/>
    </row>
    <row r="468" spans="1:26" ht="38.25" x14ac:dyDescent="0.2">
      <c r="A468" s="21"/>
      <c r="B468" s="35"/>
      <c r="C468" s="21"/>
      <c r="D468" s="80"/>
      <c r="E468" s="79"/>
      <c r="F468" s="80">
        <v>1</v>
      </c>
      <c r="G468" s="79" t="s">
        <v>523</v>
      </c>
      <c r="H468" s="72"/>
      <c r="I468" s="21"/>
      <c r="J468" s="21"/>
      <c r="K468" s="51"/>
      <c r="L468" s="26"/>
      <c r="M468" s="26"/>
      <c r="N468" s="26"/>
      <c r="O468" s="26"/>
      <c r="P468" s="26"/>
      <c r="Q468" s="26"/>
      <c r="R468" s="26"/>
      <c r="S468" s="26"/>
      <c r="T468" s="26"/>
      <c r="U468" s="26"/>
      <c r="V468" s="26"/>
      <c r="W468" s="26"/>
      <c r="X468" s="26"/>
      <c r="Y468" s="26"/>
      <c r="Z468" s="26"/>
    </row>
    <row r="469" spans="1:26" ht="25.5" x14ac:dyDescent="0.2">
      <c r="A469" s="21"/>
      <c r="B469" s="35"/>
      <c r="C469" s="21"/>
      <c r="D469" s="80"/>
      <c r="E469" s="79"/>
      <c r="F469" s="80">
        <v>2</v>
      </c>
      <c r="G469" s="79" t="s">
        <v>524</v>
      </c>
      <c r="H469" s="72"/>
      <c r="I469" s="21"/>
      <c r="J469" s="21"/>
      <c r="K469" s="51"/>
      <c r="L469" s="26"/>
      <c r="M469" s="26"/>
      <c r="N469" s="26"/>
      <c r="O469" s="26"/>
      <c r="P469" s="26"/>
      <c r="Q469" s="26"/>
      <c r="R469" s="26"/>
      <c r="S469" s="26"/>
      <c r="T469" s="26"/>
      <c r="U469" s="26"/>
      <c r="V469" s="26"/>
      <c r="W469" s="26"/>
      <c r="X469" s="26"/>
      <c r="Y469" s="26"/>
      <c r="Z469" s="26"/>
    </row>
    <row r="470" spans="1:26" ht="25.5" x14ac:dyDescent="0.2">
      <c r="A470" s="21"/>
      <c r="B470" s="35"/>
      <c r="C470" s="21"/>
      <c r="D470" s="80"/>
      <c r="E470" s="79"/>
      <c r="F470" s="80">
        <v>3</v>
      </c>
      <c r="G470" s="79" t="s">
        <v>525</v>
      </c>
      <c r="H470" s="72"/>
      <c r="I470" s="21"/>
      <c r="J470" s="21"/>
      <c r="K470" s="51"/>
      <c r="L470" s="26"/>
      <c r="M470" s="26"/>
      <c r="N470" s="26"/>
      <c r="O470" s="26"/>
      <c r="P470" s="26"/>
      <c r="Q470" s="26"/>
      <c r="R470" s="26"/>
      <c r="S470" s="26"/>
      <c r="T470" s="26"/>
      <c r="U470" s="26"/>
      <c r="V470" s="26"/>
      <c r="W470" s="26"/>
      <c r="X470" s="26"/>
      <c r="Y470" s="26"/>
      <c r="Z470" s="26"/>
    </row>
    <row r="471" spans="1:26" ht="25.5" x14ac:dyDescent="0.2">
      <c r="A471" s="21"/>
      <c r="B471" s="35"/>
      <c r="C471" s="21"/>
      <c r="D471" s="21" t="s">
        <v>43</v>
      </c>
      <c r="E471" s="35" t="s">
        <v>526</v>
      </c>
      <c r="F471" s="21" t="s">
        <v>292</v>
      </c>
      <c r="G471" s="35" t="s">
        <v>292</v>
      </c>
      <c r="H471" s="72" t="s">
        <v>292</v>
      </c>
      <c r="I471" s="21">
        <v>4</v>
      </c>
      <c r="J471" s="21"/>
      <c r="K471" s="51">
        <v>0.5</v>
      </c>
      <c r="L471" s="26"/>
      <c r="M471" s="26"/>
      <c r="N471" s="26"/>
      <c r="O471" s="26"/>
      <c r="P471" s="26"/>
      <c r="Q471" s="26"/>
      <c r="R471" s="26"/>
      <c r="S471" s="26"/>
      <c r="T471" s="26"/>
      <c r="U471" s="26"/>
      <c r="V471" s="26"/>
      <c r="W471" s="26"/>
      <c r="X471" s="26"/>
      <c r="Y471" s="26"/>
      <c r="Z471" s="26"/>
    </row>
    <row r="472" spans="1:26" ht="25.5" x14ac:dyDescent="0.2">
      <c r="A472" s="21"/>
      <c r="B472" s="35"/>
      <c r="C472" s="21"/>
      <c r="D472" s="21"/>
      <c r="E472" s="35" t="s">
        <v>292</v>
      </c>
      <c r="F472" s="21">
        <v>0</v>
      </c>
      <c r="G472" s="35" t="s">
        <v>527</v>
      </c>
      <c r="H472" s="72" t="s">
        <v>292</v>
      </c>
      <c r="I472" s="21"/>
      <c r="J472" s="21"/>
      <c r="K472" s="51"/>
      <c r="L472" s="26"/>
      <c r="M472" s="26"/>
      <c r="N472" s="26"/>
      <c r="O472" s="26"/>
      <c r="P472" s="26"/>
      <c r="Q472" s="26"/>
      <c r="R472" s="26"/>
      <c r="S472" s="26"/>
      <c r="T472" s="26"/>
      <c r="U472" s="26"/>
      <c r="V472" s="26"/>
      <c r="W472" s="26"/>
      <c r="X472" s="26"/>
      <c r="Y472" s="26"/>
      <c r="Z472" s="26"/>
    </row>
    <row r="473" spans="1:26" ht="25.5" x14ac:dyDescent="0.2">
      <c r="A473" s="21"/>
      <c r="B473" s="35"/>
      <c r="C473" s="21"/>
      <c r="D473" s="21"/>
      <c r="E473" s="35" t="s">
        <v>292</v>
      </c>
      <c r="F473" s="21">
        <v>1</v>
      </c>
      <c r="G473" s="35" t="s">
        <v>528</v>
      </c>
      <c r="H473" s="72" t="s">
        <v>292</v>
      </c>
      <c r="I473" s="21"/>
      <c r="J473" s="21"/>
      <c r="K473" s="51"/>
      <c r="L473" s="26"/>
      <c r="M473" s="26"/>
      <c r="N473" s="26"/>
      <c r="O473" s="26"/>
      <c r="P473" s="26"/>
      <c r="Q473" s="26"/>
      <c r="R473" s="26"/>
      <c r="S473" s="26"/>
      <c r="T473" s="26"/>
      <c r="U473" s="26"/>
      <c r="V473" s="26"/>
      <c r="W473" s="26"/>
      <c r="X473" s="26"/>
      <c r="Y473" s="26"/>
      <c r="Z473" s="26"/>
    </row>
    <row r="474" spans="1:26" ht="25.5" x14ac:dyDescent="0.2">
      <c r="A474" s="21"/>
      <c r="B474" s="35"/>
      <c r="C474" s="21"/>
      <c r="D474" s="21"/>
      <c r="E474" s="35" t="s">
        <v>292</v>
      </c>
      <c r="F474" s="21">
        <v>2</v>
      </c>
      <c r="G474" s="35" t="s">
        <v>529</v>
      </c>
      <c r="H474" s="72" t="s">
        <v>292</v>
      </c>
      <c r="I474" s="21"/>
      <c r="J474" s="21"/>
      <c r="K474" s="51"/>
      <c r="L474" s="26"/>
      <c r="M474" s="26"/>
      <c r="N474" s="26"/>
      <c r="O474" s="26"/>
      <c r="P474" s="26"/>
      <c r="Q474" s="26"/>
      <c r="R474" s="26"/>
      <c r="S474" s="26"/>
      <c r="T474" s="26"/>
      <c r="U474" s="26"/>
      <c r="V474" s="26"/>
      <c r="W474" s="26"/>
      <c r="X474" s="26"/>
      <c r="Y474" s="26"/>
      <c r="Z474" s="26"/>
    </row>
    <row r="475" spans="1:26" ht="38.25" x14ac:dyDescent="0.2">
      <c r="A475" s="21"/>
      <c r="B475" s="35"/>
      <c r="C475" s="21"/>
      <c r="D475" s="21"/>
      <c r="E475" s="35" t="s">
        <v>292</v>
      </c>
      <c r="F475" s="21">
        <v>3</v>
      </c>
      <c r="G475" s="35" t="s">
        <v>530</v>
      </c>
      <c r="H475" s="72" t="s">
        <v>292</v>
      </c>
      <c r="I475" s="21"/>
      <c r="J475" s="21"/>
      <c r="K475" s="51"/>
      <c r="L475" s="26"/>
      <c r="M475" s="26"/>
      <c r="N475" s="26"/>
      <c r="O475" s="26"/>
      <c r="P475" s="26"/>
      <c r="Q475" s="26"/>
      <c r="R475" s="26"/>
      <c r="S475" s="26"/>
      <c r="T475" s="26"/>
      <c r="U475" s="26"/>
      <c r="V475" s="26"/>
      <c r="W475" s="26"/>
      <c r="X475" s="26"/>
      <c r="Y475" s="26"/>
      <c r="Z475" s="26"/>
    </row>
    <row r="476" spans="1:26" ht="25.5" x14ac:dyDescent="0.2">
      <c r="A476" s="21"/>
      <c r="B476" s="35"/>
      <c r="C476" s="21"/>
      <c r="D476" s="21" t="s">
        <v>43</v>
      </c>
      <c r="E476" s="79" t="s">
        <v>531</v>
      </c>
      <c r="F476" s="91"/>
      <c r="G476" s="92"/>
      <c r="H476" s="89"/>
      <c r="I476" s="72">
        <v>4</v>
      </c>
      <c r="J476" s="72"/>
      <c r="K476" s="51">
        <v>0.5</v>
      </c>
      <c r="L476" s="26"/>
      <c r="M476" s="26"/>
      <c r="N476" s="26"/>
      <c r="O476" s="26"/>
      <c r="P476" s="26"/>
      <c r="Q476" s="26"/>
      <c r="R476" s="26"/>
      <c r="S476" s="26"/>
      <c r="T476" s="26"/>
      <c r="U476" s="26"/>
      <c r="V476" s="26"/>
      <c r="W476" s="26"/>
      <c r="X476" s="26"/>
      <c r="Y476" s="26"/>
      <c r="Z476" s="26"/>
    </row>
    <row r="477" spans="1:26" ht="12.75" x14ac:dyDescent="0.2">
      <c r="A477" s="21"/>
      <c r="B477" s="35"/>
      <c r="C477" s="21"/>
      <c r="D477" s="21"/>
      <c r="E477" s="92"/>
      <c r="F477" s="91">
        <v>0</v>
      </c>
      <c r="G477" s="92" t="s">
        <v>50</v>
      </c>
      <c r="H477" s="89"/>
      <c r="I477" s="72"/>
      <c r="J477" s="72"/>
      <c r="K477" s="51"/>
      <c r="L477" s="26"/>
      <c r="M477" s="26"/>
      <c r="N477" s="26"/>
      <c r="O477" s="26"/>
      <c r="P477" s="26"/>
      <c r="Q477" s="26"/>
      <c r="R477" s="26"/>
      <c r="S477" s="26"/>
      <c r="T477" s="26"/>
      <c r="U477" s="26"/>
      <c r="V477" s="26"/>
      <c r="W477" s="26"/>
      <c r="X477" s="26"/>
      <c r="Y477" s="26"/>
      <c r="Z477" s="26"/>
    </row>
    <row r="478" spans="1:26" ht="12.75" x14ac:dyDescent="0.2">
      <c r="A478" s="21"/>
      <c r="B478" s="35"/>
      <c r="C478" s="21"/>
      <c r="D478" s="21"/>
      <c r="E478" s="92"/>
      <c r="F478" s="91">
        <v>1</v>
      </c>
      <c r="G478" s="92" t="s">
        <v>51</v>
      </c>
      <c r="H478" s="89"/>
      <c r="I478" s="72"/>
      <c r="J478" s="72"/>
      <c r="K478" s="51"/>
      <c r="L478" s="26"/>
      <c r="M478" s="26"/>
      <c r="N478" s="26"/>
      <c r="O478" s="26"/>
      <c r="P478" s="26"/>
      <c r="Q478" s="26"/>
      <c r="R478" s="26"/>
      <c r="S478" s="26"/>
      <c r="T478" s="26"/>
      <c r="U478" s="26"/>
      <c r="V478" s="26"/>
      <c r="W478" s="26"/>
      <c r="X478" s="26"/>
      <c r="Y478" s="26"/>
      <c r="Z478" s="26"/>
    </row>
    <row r="479" spans="1:26" ht="12.75" x14ac:dyDescent="0.2">
      <c r="A479" s="21"/>
      <c r="B479" s="35"/>
      <c r="C479" s="21"/>
      <c r="D479" s="21"/>
      <c r="E479" s="92"/>
      <c r="F479" s="91">
        <v>2</v>
      </c>
      <c r="G479" s="92" t="s">
        <v>532</v>
      </c>
      <c r="H479" s="89"/>
      <c r="I479" s="72"/>
      <c r="J479" s="72"/>
      <c r="K479" s="51"/>
      <c r="L479" s="26"/>
      <c r="M479" s="26"/>
      <c r="N479" s="26"/>
      <c r="O479" s="26"/>
      <c r="P479" s="26"/>
      <c r="Q479" s="26"/>
      <c r="R479" s="26"/>
      <c r="S479" s="26"/>
      <c r="T479" s="26"/>
      <c r="U479" s="26"/>
      <c r="V479" s="26"/>
      <c r="W479" s="26"/>
      <c r="X479" s="26"/>
      <c r="Y479" s="26"/>
      <c r="Z479" s="26"/>
    </row>
    <row r="480" spans="1:26" ht="12.75" x14ac:dyDescent="0.2">
      <c r="A480" s="21"/>
      <c r="B480" s="35"/>
      <c r="C480" s="21"/>
      <c r="D480" s="21"/>
      <c r="E480" s="92"/>
      <c r="F480" s="91">
        <v>3</v>
      </c>
      <c r="G480" s="92" t="s">
        <v>533</v>
      </c>
      <c r="H480" s="89"/>
      <c r="I480" s="72"/>
      <c r="J480" s="72"/>
      <c r="K480" s="51"/>
      <c r="L480" s="26"/>
      <c r="M480" s="26"/>
      <c r="N480" s="26"/>
      <c r="O480" s="26"/>
      <c r="P480" s="26"/>
      <c r="Q480" s="26"/>
      <c r="R480" s="26"/>
      <c r="S480" s="26"/>
      <c r="T480" s="26"/>
      <c r="U480" s="26"/>
      <c r="V480" s="26"/>
      <c r="W480" s="26"/>
      <c r="X480" s="26"/>
      <c r="Y480" s="26"/>
      <c r="Z480" s="26"/>
    </row>
    <row r="481" spans="1:26" ht="25.5" x14ac:dyDescent="0.2">
      <c r="A481" s="21"/>
      <c r="B481" s="35"/>
      <c r="C481" s="21"/>
      <c r="D481" s="21" t="s">
        <v>43</v>
      </c>
      <c r="E481" s="79" t="s">
        <v>534</v>
      </c>
      <c r="F481" s="80"/>
      <c r="G481" s="79"/>
      <c r="H481" s="89"/>
      <c r="I481" s="72">
        <v>4</v>
      </c>
      <c r="J481" s="72"/>
      <c r="K481" s="51">
        <v>0.5</v>
      </c>
      <c r="L481" s="26"/>
      <c r="M481" s="26"/>
      <c r="N481" s="26"/>
      <c r="O481" s="26"/>
      <c r="P481" s="26"/>
      <c r="Q481" s="26"/>
      <c r="R481" s="26"/>
      <c r="S481" s="26"/>
      <c r="T481" s="26"/>
      <c r="U481" s="26"/>
      <c r="V481" s="26"/>
      <c r="W481" s="26"/>
      <c r="X481" s="26"/>
      <c r="Y481" s="26"/>
      <c r="Z481" s="26"/>
    </row>
    <row r="482" spans="1:26" ht="25.5" x14ac:dyDescent="0.2">
      <c r="A482" s="21"/>
      <c r="B482" s="35"/>
      <c r="C482" s="21"/>
      <c r="D482" s="21"/>
      <c r="E482" s="79"/>
      <c r="F482" s="80">
        <v>0</v>
      </c>
      <c r="G482" s="79" t="s">
        <v>535</v>
      </c>
      <c r="H482" s="89"/>
      <c r="I482" s="72"/>
      <c r="J482" s="72"/>
      <c r="K482" s="51"/>
      <c r="L482" s="26"/>
      <c r="M482" s="26"/>
      <c r="N482" s="26"/>
      <c r="O482" s="26"/>
      <c r="P482" s="26"/>
      <c r="Q482" s="26"/>
      <c r="R482" s="26"/>
      <c r="S482" s="26"/>
      <c r="T482" s="26"/>
      <c r="U482" s="26"/>
      <c r="V482" s="26"/>
      <c r="W482" s="26"/>
      <c r="X482" s="26"/>
      <c r="Y482" s="26"/>
      <c r="Z482" s="26"/>
    </row>
    <row r="483" spans="1:26" ht="25.5" x14ac:dyDescent="0.2">
      <c r="A483" s="21"/>
      <c r="B483" s="35"/>
      <c r="C483" s="21"/>
      <c r="D483" s="21"/>
      <c r="E483" s="79"/>
      <c r="F483" s="80">
        <v>1</v>
      </c>
      <c r="G483" s="79" t="s">
        <v>536</v>
      </c>
      <c r="H483" s="89"/>
      <c r="I483" s="72"/>
      <c r="J483" s="72"/>
      <c r="K483" s="51"/>
      <c r="L483" s="26"/>
      <c r="M483" s="26"/>
      <c r="N483" s="26"/>
      <c r="O483" s="26"/>
      <c r="P483" s="26"/>
      <c r="Q483" s="26"/>
      <c r="R483" s="26"/>
      <c r="S483" s="26"/>
      <c r="T483" s="26"/>
      <c r="U483" s="26"/>
      <c r="V483" s="26"/>
      <c r="W483" s="26"/>
      <c r="X483" s="26"/>
      <c r="Y483" s="26"/>
      <c r="Z483" s="26"/>
    </row>
    <row r="484" spans="1:26" ht="25.5" x14ac:dyDescent="0.2">
      <c r="A484" s="21"/>
      <c r="B484" s="35"/>
      <c r="C484" s="21"/>
      <c r="D484" s="21"/>
      <c r="E484" s="79"/>
      <c r="F484" s="80">
        <v>2</v>
      </c>
      <c r="G484" s="79" t="s">
        <v>537</v>
      </c>
      <c r="H484" s="89"/>
      <c r="I484" s="72"/>
      <c r="J484" s="72"/>
      <c r="K484" s="51"/>
      <c r="L484" s="26"/>
      <c r="M484" s="26"/>
      <c r="N484" s="26"/>
      <c r="O484" s="26"/>
      <c r="P484" s="26"/>
      <c r="Q484" s="26"/>
      <c r="R484" s="26"/>
      <c r="S484" s="26"/>
      <c r="T484" s="26"/>
      <c r="U484" s="26"/>
      <c r="V484" s="26"/>
      <c r="W484" s="26"/>
      <c r="X484" s="26"/>
      <c r="Y484" s="26"/>
      <c r="Z484" s="26"/>
    </row>
    <row r="485" spans="1:26" ht="25.5" x14ac:dyDescent="0.2">
      <c r="A485" s="21"/>
      <c r="B485" s="35"/>
      <c r="C485" s="21"/>
      <c r="D485" s="21"/>
      <c r="E485" s="79"/>
      <c r="F485" s="80">
        <v>3</v>
      </c>
      <c r="G485" s="79" t="s">
        <v>538</v>
      </c>
      <c r="H485" s="89"/>
      <c r="I485" s="72"/>
      <c r="J485" s="72"/>
      <c r="K485" s="51"/>
      <c r="L485" s="26"/>
      <c r="M485" s="26"/>
      <c r="N485" s="26"/>
      <c r="O485" s="26"/>
      <c r="P485" s="26"/>
      <c r="Q485" s="26"/>
      <c r="R485" s="26"/>
      <c r="S485" s="26"/>
      <c r="T485" s="26"/>
      <c r="U485" s="26"/>
      <c r="V485" s="26"/>
      <c r="W485" s="26"/>
      <c r="X485" s="26"/>
      <c r="Y485" s="26"/>
      <c r="Z485" s="26"/>
    </row>
    <row r="486" spans="1:26" ht="25.5" x14ac:dyDescent="0.2">
      <c r="A486" s="21" t="s">
        <v>539</v>
      </c>
      <c r="B486" s="35" t="s">
        <v>383</v>
      </c>
      <c r="C486" s="21">
        <v>3</v>
      </c>
      <c r="D486" s="21"/>
      <c r="E486" s="35"/>
      <c r="F486" s="89"/>
      <c r="G486" s="35"/>
      <c r="H486" s="89"/>
      <c r="I486" s="72"/>
      <c r="J486" s="72"/>
      <c r="K486" s="51"/>
      <c r="L486" s="26"/>
      <c r="M486" s="26"/>
      <c r="N486" s="26"/>
      <c r="O486" s="26"/>
      <c r="P486" s="26"/>
      <c r="Q486" s="26"/>
      <c r="R486" s="26"/>
      <c r="S486" s="26"/>
      <c r="T486" s="26"/>
      <c r="U486" s="26"/>
      <c r="V486" s="26"/>
      <c r="W486" s="26"/>
      <c r="X486" s="26"/>
      <c r="Y486" s="26"/>
      <c r="Z486" s="26"/>
    </row>
    <row r="487" spans="1:26" ht="12.75" x14ac:dyDescent="0.2">
      <c r="A487" s="21"/>
      <c r="B487" s="35"/>
      <c r="C487" s="21"/>
      <c r="D487" s="21" t="s">
        <v>67</v>
      </c>
      <c r="E487" s="35" t="s">
        <v>540</v>
      </c>
      <c r="F487" s="89"/>
      <c r="G487" s="35" t="s">
        <v>541</v>
      </c>
      <c r="H487" s="89" t="s">
        <v>69</v>
      </c>
      <c r="I487" s="72">
        <v>5</v>
      </c>
      <c r="J487" s="72"/>
      <c r="K487" s="51">
        <v>0.25</v>
      </c>
      <c r="L487" s="26"/>
      <c r="M487" s="26"/>
      <c r="N487" s="26"/>
      <c r="O487" s="26"/>
      <c r="P487" s="26"/>
      <c r="Q487" s="26"/>
      <c r="R487" s="26"/>
      <c r="S487" s="26"/>
      <c r="T487" s="26"/>
      <c r="U487" s="26"/>
      <c r="V487" s="26"/>
      <c r="W487" s="26"/>
      <c r="X487" s="26"/>
      <c r="Y487" s="26"/>
      <c r="Z487" s="26"/>
    </row>
    <row r="488" spans="1:26" ht="12.75" x14ac:dyDescent="0.2">
      <c r="A488" s="21"/>
      <c r="B488" s="35"/>
      <c r="C488" s="21"/>
      <c r="D488" s="21" t="s">
        <v>67</v>
      </c>
      <c r="E488" s="35" t="s">
        <v>542</v>
      </c>
      <c r="F488" s="89"/>
      <c r="G488" s="35" t="s">
        <v>543</v>
      </c>
      <c r="H488" s="89" t="s">
        <v>69</v>
      </c>
      <c r="I488" s="72">
        <v>5</v>
      </c>
      <c r="J488" s="72"/>
      <c r="K488" s="51">
        <v>0.5</v>
      </c>
      <c r="L488" s="26"/>
      <c r="M488" s="26"/>
      <c r="N488" s="26"/>
      <c r="O488" s="26"/>
      <c r="P488" s="26"/>
      <c r="Q488" s="26"/>
      <c r="R488" s="26"/>
      <c r="S488" s="26"/>
      <c r="T488" s="26"/>
      <c r="U488" s="26"/>
      <c r="V488" s="26"/>
      <c r="W488" s="26"/>
      <c r="X488" s="26"/>
      <c r="Y488" s="26"/>
      <c r="Z488" s="26"/>
    </row>
    <row r="489" spans="1:26" ht="12.75" x14ac:dyDescent="0.2">
      <c r="A489" s="73"/>
      <c r="B489" s="93"/>
      <c r="C489" s="75" t="s">
        <v>292</v>
      </c>
      <c r="D489" s="75" t="s">
        <v>67</v>
      </c>
      <c r="E489" s="93" t="s">
        <v>544</v>
      </c>
      <c r="F489" s="93" t="s">
        <v>292</v>
      </c>
      <c r="G489" s="93" t="s">
        <v>545</v>
      </c>
      <c r="H489" s="75" t="s">
        <v>69</v>
      </c>
      <c r="I489" s="75">
        <v>5</v>
      </c>
      <c r="J489" s="75"/>
      <c r="K489" s="94">
        <v>0.5</v>
      </c>
      <c r="L489" s="28"/>
      <c r="M489" s="28"/>
      <c r="N489" s="28"/>
      <c r="O489" s="28"/>
      <c r="P489" s="28"/>
      <c r="Q489" s="28"/>
      <c r="R489" s="28"/>
      <c r="S489" s="28"/>
      <c r="T489" s="28"/>
      <c r="U489" s="28"/>
      <c r="V489" s="28"/>
      <c r="W489" s="28"/>
      <c r="X489" s="28"/>
      <c r="Y489" s="28"/>
      <c r="Z489" s="28"/>
    </row>
    <row r="490" spans="1:26" ht="38.25" x14ac:dyDescent="0.2">
      <c r="A490" s="95"/>
      <c r="B490" s="96"/>
      <c r="C490" s="97" t="s">
        <v>292</v>
      </c>
      <c r="D490" s="97" t="s">
        <v>67</v>
      </c>
      <c r="E490" s="96" t="s">
        <v>546</v>
      </c>
      <c r="F490" s="96" t="s">
        <v>292</v>
      </c>
      <c r="G490" s="96" t="s">
        <v>547</v>
      </c>
      <c r="H490" s="97" t="s">
        <v>69</v>
      </c>
      <c r="I490" s="97">
        <v>2</v>
      </c>
      <c r="J490" s="97"/>
      <c r="K490" s="86">
        <v>0.5</v>
      </c>
      <c r="L490" s="27"/>
      <c r="M490" s="27"/>
      <c r="N490" s="27"/>
      <c r="O490" s="27"/>
      <c r="P490" s="27"/>
      <c r="Q490" s="27"/>
      <c r="R490" s="27"/>
      <c r="S490" s="27"/>
      <c r="T490" s="27"/>
      <c r="U490" s="27"/>
      <c r="V490" s="27"/>
      <c r="W490" s="27"/>
      <c r="X490" s="27"/>
      <c r="Y490" s="27"/>
      <c r="Z490" s="27"/>
    </row>
    <row r="491" spans="1:26" ht="25.5" x14ac:dyDescent="0.2">
      <c r="A491" s="21" t="s">
        <v>548</v>
      </c>
      <c r="B491" s="35" t="s">
        <v>383</v>
      </c>
      <c r="C491" s="75">
        <v>3</v>
      </c>
      <c r="D491" s="75"/>
      <c r="E491" s="93"/>
      <c r="F491" s="93"/>
      <c r="G491" s="93"/>
      <c r="H491" s="75"/>
      <c r="I491" s="75"/>
      <c r="J491" s="75"/>
      <c r="K491" s="94"/>
      <c r="L491" s="28"/>
      <c r="M491" s="28"/>
      <c r="N491" s="28"/>
      <c r="O491" s="28"/>
      <c r="P491" s="28"/>
      <c r="Q491" s="28"/>
      <c r="R491" s="28"/>
      <c r="S491" s="28"/>
      <c r="T491" s="28"/>
      <c r="U491" s="28"/>
      <c r="V491" s="28"/>
      <c r="W491" s="28"/>
      <c r="X491" s="28"/>
      <c r="Y491" s="28"/>
      <c r="Z491" s="28"/>
    </row>
    <row r="492" spans="1:26" ht="51" x14ac:dyDescent="0.2">
      <c r="A492" s="73"/>
      <c r="B492" s="93"/>
      <c r="C492" s="75" t="s">
        <v>292</v>
      </c>
      <c r="D492" s="75" t="s">
        <v>67</v>
      </c>
      <c r="E492" s="93" t="s">
        <v>549</v>
      </c>
      <c r="F492" s="93" t="s">
        <v>292</v>
      </c>
      <c r="G492" s="96" t="s">
        <v>550</v>
      </c>
      <c r="H492" s="75" t="s">
        <v>69</v>
      </c>
      <c r="I492" s="75">
        <v>5</v>
      </c>
      <c r="J492" s="75"/>
      <c r="K492" s="94">
        <v>0.5</v>
      </c>
      <c r="L492" s="28"/>
      <c r="M492" s="28"/>
      <c r="N492" s="28"/>
      <c r="O492" s="28"/>
      <c r="P492" s="28"/>
      <c r="Q492" s="28"/>
      <c r="R492" s="28"/>
      <c r="S492" s="28"/>
      <c r="T492" s="28"/>
      <c r="U492" s="28"/>
      <c r="V492" s="28"/>
      <c r="W492" s="28"/>
      <c r="X492" s="28"/>
      <c r="Y492" s="28"/>
      <c r="Z492" s="28"/>
    </row>
    <row r="493" spans="1:26" ht="51" x14ac:dyDescent="0.2">
      <c r="A493" s="21"/>
      <c r="B493" s="35"/>
      <c r="C493" s="21" t="s">
        <v>292</v>
      </c>
      <c r="D493" s="21" t="s">
        <v>67</v>
      </c>
      <c r="E493" s="35" t="s">
        <v>551</v>
      </c>
      <c r="F493" s="21" t="s">
        <v>292</v>
      </c>
      <c r="G493" s="35" t="s">
        <v>552</v>
      </c>
      <c r="H493" s="89" t="s">
        <v>69</v>
      </c>
      <c r="I493" s="21">
        <v>5</v>
      </c>
      <c r="J493" s="21"/>
      <c r="K493" s="51">
        <v>0.25</v>
      </c>
      <c r="L493" s="26"/>
      <c r="M493" s="26"/>
      <c r="N493" s="26"/>
      <c r="O493" s="26"/>
      <c r="P493" s="26"/>
      <c r="Q493" s="26"/>
      <c r="R493" s="26"/>
      <c r="S493" s="26"/>
      <c r="T493" s="26"/>
      <c r="U493" s="26"/>
      <c r="V493" s="26"/>
      <c r="W493" s="26"/>
      <c r="X493" s="26"/>
      <c r="Y493" s="26"/>
      <c r="Z493" s="26"/>
    </row>
    <row r="494" spans="1:26" ht="102" x14ac:dyDescent="0.2">
      <c r="A494" s="21"/>
      <c r="B494" s="35"/>
      <c r="C494" s="21" t="s">
        <v>292</v>
      </c>
      <c r="D494" s="34" t="s">
        <v>67</v>
      </c>
      <c r="E494" s="35" t="s">
        <v>553</v>
      </c>
      <c r="F494" s="34" t="s">
        <v>292</v>
      </c>
      <c r="G494" s="35" t="s">
        <v>554</v>
      </c>
      <c r="H494" s="89" t="s">
        <v>69</v>
      </c>
      <c r="I494" s="21">
        <v>3</v>
      </c>
      <c r="J494" s="21"/>
      <c r="K494" s="51">
        <v>0.5</v>
      </c>
      <c r="L494" s="26"/>
      <c r="M494" s="26"/>
      <c r="N494" s="26"/>
      <c r="O494" s="26"/>
      <c r="P494" s="26"/>
      <c r="Q494" s="26"/>
      <c r="R494" s="26"/>
      <c r="S494" s="26"/>
      <c r="T494" s="26"/>
      <c r="U494" s="26"/>
      <c r="V494" s="26"/>
      <c r="W494" s="26"/>
      <c r="X494" s="26"/>
      <c r="Y494" s="26"/>
      <c r="Z494" s="26"/>
    </row>
    <row r="495" spans="1:26" ht="63.75" x14ac:dyDescent="0.2">
      <c r="A495" s="21"/>
      <c r="B495" s="35"/>
      <c r="C495" s="21"/>
      <c r="D495" s="75" t="s">
        <v>67</v>
      </c>
      <c r="E495" s="93" t="s">
        <v>555</v>
      </c>
      <c r="F495" s="93" t="s">
        <v>292</v>
      </c>
      <c r="G495" s="96" t="s">
        <v>556</v>
      </c>
      <c r="H495" s="75" t="s">
        <v>69</v>
      </c>
      <c r="I495" s="75">
        <v>5</v>
      </c>
      <c r="J495" s="75"/>
      <c r="K495" s="94">
        <v>0.5</v>
      </c>
      <c r="L495" s="26"/>
      <c r="M495" s="26"/>
      <c r="N495" s="26"/>
      <c r="O495" s="26"/>
      <c r="P495" s="26"/>
      <c r="Q495" s="26"/>
      <c r="R495" s="26"/>
      <c r="S495" s="26"/>
      <c r="T495" s="26"/>
      <c r="U495" s="26"/>
      <c r="V495" s="26"/>
      <c r="W495" s="26"/>
      <c r="X495" s="26"/>
      <c r="Y495" s="26"/>
      <c r="Z495" s="26"/>
    </row>
    <row r="496" spans="1:26" ht="12.75" x14ac:dyDescent="0.2">
      <c r="A496" s="21"/>
      <c r="B496" s="35"/>
      <c r="C496" s="21" t="s">
        <v>292</v>
      </c>
      <c r="D496" s="21" t="s">
        <v>67</v>
      </c>
      <c r="E496" s="35" t="s">
        <v>557</v>
      </c>
      <c r="F496" s="21" t="s">
        <v>292</v>
      </c>
      <c r="G496" s="35" t="s">
        <v>558</v>
      </c>
      <c r="H496" s="89" t="s">
        <v>69</v>
      </c>
      <c r="I496" s="21">
        <v>1</v>
      </c>
      <c r="J496" s="21"/>
      <c r="K496" s="51">
        <v>0.75</v>
      </c>
      <c r="L496" s="26"/>
      <c r="M496" s="26"/>
      <c r="N496" s="26"/>
      <c r="O496" s="26"/>
      <c r="P496" s="26"/>
      <c r="Q496" s="26"/>
      <c r="R496" s="26"/>
      <c r="S496" s="26"/>
      <c r="T496" s="26"/>
      <c r="U496" s="26"/>
      <c r="V496" s="26"/>
      <c r="W496" s="26"/>
      <c r="X496" s="26"/>
      <c r="Y496" s="26"/>
      <c r="Z496" s="26"/>
    </row>
    <row r="497" spans="1:26" ht="25.5" x14ac:dyDescent="0.2">
      <c r="A497" s="73" t="s">
        <v>559</v>
      </c>
      <c r="B497" s="35" t="s">
        <v>195</v>
      </c>
      <c r="C497" s="75">
        <v>3</v>
      </c>
      <c r="D497" s="75"/>
      <c r="E497" s="93"/>
      <c r="F497" s="93"/>
      <c r="G497" s="98"/>
      <c r="H497" s="75"/>
      <c r="I497" s="75"/>
      <c r="J497" s="75"/>
      <c r="K497" s="94"/>
      <c r="L497" s="28"/>
      <c r="M497" s="28"/>
      <c r="N497" s="28"/>
      <c r="O497" s="28"/>
      <c r="P497" s="28"/>
      <c r="Q497" s="28"/>
      <c r="R497" s="28"/>
      <c r="S497" s="28"/>
      <c r="T497" s="28"/>
      <c r="U497" s="28"/>
      <c r="V497" s="28"/>
      <c r="W497" s="28"/>
      <c r="X497" s="28"/>
      <c r="Y497" s="28"/>
      <c r="Z497" s="28"/>
    </row>
    <row r="498" spans="1:26" ht="357" x14ac:dyDescent="0.2">
      <c r="A498" s="73"/>
      <c r="B498" s="93"/>
      <c r="C498" s="75" t="s">
        <v>292</v>
      </c>
      <c r="D498" s="75" t="s">
        <v>67</v>
      </c>
      <c r="E498" s="93" t="s">
        <v>560</v>
      </c>
      <c r="F498" s="93" t="s">
        <v>292</v>
      </c>
      <c r="G498" s="99" t="s">
        <v>561</v>
      </c>
      <c r="H498" s="75" t="s">
        <v>69</v>
      </c>
      <c r="I498" s="75">
        <v>5</v>
      </c>
      <c r="J498" s="75"/>
      <c r="K498" s="94">
        <v>0.75</v>
      </c>
      <c r="L498" s="28"/>
      <c r="M498" s="28"/>
      <c r="N498" s="28"/>
      <c r="O498" s="28"/>
      <c r="P498" s="28"/>
      <c r="Q498" s="28"/>
      <c r="R498" s="28"/>
      <c r="S498" s="28"/>
      <c r="T498" s="28"/>
      <c r="U498" s="28"/>
      <c r="V498" s="28"/>
      <c r="W498" s="28"/>
      <c r="X498" s="28"/>
      <c r="Y498" s="28"/>
      <c r="Z498" s="28"/>
    </row>
    <row r="499" spans="1:26" ht="51" x14ac:dyDescent="0.2">
      <c r="A499" s="73"/>
      <c r="B499" s="93"/>
      <c r="C499" s="75" t="s">
        <v>292</v>
      </c>
      <c r="D499" s="75" t="s">
        <v>67</v>
      </c>
      <c r="E499" s="93" t="s">
        <v>562</v>
      </c>
      <c r="F499" s="93" t="s">
        <v>292</v>
      </c>
      <c r="G499" s="100" t="s">
        <v>563</v>
      </c>
      <c r="H499" s="75" t="s">
        <v>69</v>
      </c>
      <c r="I499" s="75">
        <v>5</v>
      </c>
      <c r="J499" s="75"/>
      <c r="K499" s="94">
        <v>0.75</v>
      </c>
      <c r="L499" s="28"/>
      <c r="M499" s="28"/>
      <c r="N499" s="28"/>
      <c r="O499" s="28"/>
      <c r="P499" s="28"/>
      <c r="Q499" s="28"/>
      <c r="R499" s="28"/>
      <c r="S499" s="28"/>
      <c r="T499" s="28"/>
      <c r="U499" s="28"/>
      <c r="V499" s="28"/>
      <c r="W499" s="28"/>
      <c r="X499" s="28"/>
      <c r="Y499" s="28"/>
      <c r="Z499" s="28"/>
    </row>
    <row r="500" spans="1:26" ht="51" x14ac:dyDescent="0.2">
      <c r="A500" s="73"/>
      <c r="B500" s="93"/>
      <c r="C500" s="75"/>
      <c r="D500" s="75" t="s">
        <v>67</v>
      </c>
      <c r="E500" s="93" t="s">
        <v>564</v>
      </c>
      <c r="F500" s="93"/>
      <c r="G500" s="99" t="s">
        <v>565</v>
      </c>
      <c r="H500" s="75" t="s">
        <v>69</v>
      </c>
      <c r="I500" s="75">
        <v>5</v>
      </c>
      <c r="J500" s="75"/>
      <c r="K500" s="94">
        <v>0.5</v>
      </c>
      <c r="L500" s="28"/>
      <c r="M500" s="28"/>
      <c r="N500" s="28"/>
      <c r="O500" s="28"/>
      <c r="P500" s="28"/>
      <c r="Q500" s="28"/>
      <c r="R500" s="28"/>
      <c r="S500" s="28"/>
      <c r="T500" s="28"/>
      <c r="U500" s="28"/>
      <c r="V500" s="28"/>
      <c r="W500" s="28"/>
      <c r="X500" s="28"/>
      <c r="Y500" s="28"/>
      <c r="Z500" s="28"/>
    </row>
    <row r="501" spans="1:26" ht="114.75" x14ac:dyDescent="0.2">
      <c r="A501" s="73"/>
      <c r="B501" s="93"/>
      <c r="C501" s="75" t="s">
        <v>292</v>
      </c>
      <c r="D501" s="75" t="s">
        <v>67</v>
      </c>
      <c r="E501" s="93" t="s">
        <v>566</v>
      </c>
      <c r="F501" s="93" t="s">
        <v>292</v>
      </c>
      <c r="G501" s="99" t="s">
        <v>567</v>
      </c>
      <c r="H501" s="75" t="s">
        <v>69</v>
      </c>
      <c r="I501" s="75">
        <v>3</v>
      </c>
      <c r="J501" s="75"/>
      <c r="K501" s="94">
        <v>0.75</v>
      </c>
      <c r="L501" s="28"/>
      <c r="M501" s="28"/>
      <c r="N501" s="28"/>
      <c r="O501" s="28"/>
      <c r="P501" s="28"/>
      <c r="Q501" s="28"/>
      <c r="R501" s="28"/>
      <c r="S501" s="28"/>
      <c r="T501" s="28"/>
      <c r="U501" s="28"/>
      <c r="V501" s="28"/>
      <c r="W501" s="28"/>
      <c r="X501" s="28"/>
      <c r="Y501" s="28"/>
      <c r="Z501" s="28"/>
    </row>
    <row r="502" spans="1:26" ht="409.5" x14ac:dyDescent="0.2">
      <c r="A502" s="73" t="s">
        <v>568</v>
      </c>
      <c r="B502" s="35" t="s">
        <v>195</v>
      </c>
      <c r="C502" s="75">
        <v>3</v>
      </c>
      <c r="D502" s="75" t="s">
        <v>67</v>
      </c>
      <c r="E502" s="93" t="s">
        <v>569</v>
      </c>
      <c r="F502" s="93" t="s">
        <v>292</v>
      </c>
      <c r="G502" s="99" t="s">
        <v>629</v>
      </c>
      <c r="H502" s="75" t="s">
        <v>69</v>
      </c>
      <c r="I502" s="75">
        <v>5</v>
      </c>
      <c r="J502" s="75"/>
      <c r="K502" s="94">
        <v>2</v>
      </c>
      <c r="L502" s="28"/>
      <c r="M502" s="28"/>
      <c r="N502" s="28"/>
      <c r="O502" s="28"/>
      <c r="P502" s="28"/>
      <c r="Q502" s="28"/>
      <c r="R502" s="28"/>
      <c r="S502" s="28"/>
      <c r="T502" s="28"/>
      <c r="U502" s="28"/>
      <c r="V502" s="28"/>
      <c r="W502" s="28"/>
      <c r="X502" s="28"/>
      <c r="Y502" s="28"/>
      <c r="Z502" s="28"/>
    </row>
    <row r="503" spans="1:26" ht="12.75" x14ac:dyDescent="0.2">
      <c r="A503" s="21" t="s">
        <v>570</v>
      </c>
      <c r="B503" s="35" t="s">
        <v>55</v>
      </c>
      <c r="C503" s="72">
        <v>3</v>
      </c>
      <c r="D503" s="77"/>
      <c r="E503" s="76"/>
      <c r="F503" s="77"/>
      <c r="G503" s="76"/>
      <c r="H503" s="77"/>
      <c r="I503" s="77"/>
      <c r="J503" s="72"/>
      <c r="K503" s="51"/>
      <c r="L503" s="26"/>
      <c r="M503" s="26"/>
      <c r="N503" s="26"/>
      <c r="O503" s="26"/>
      <c r="P503" s="26"/>
      <c r="Q503" s="26"/>
      <c r="R503" s="26"/>
      <c r="S503" s="26"/>
      <c r="T503" s="26"/>
      <c r="U503" s="26"/>
      <c r="V503" s="26"/>
      <c r="W503" s="26"/>
      <c r="X503" s="26"/>
      <c r="Y503" s="26"/>
      <c r="Z503" s="26"/>
    </row>
    <row r="504" spans="1:26" ht="25.5" x14ac:dyDescent="0.2">
      <c r="A504" s="21"/>
      <c r="B504" s="35"/>
      <c r="C504" s="21"/>
      <c r="D504" s="90" t="s">
        <v>43</v>
      </c>
      <c r="E504" s="79" t="s">
        <v>571</v>
      </c>
      <c r="F504" s="90"/>
      <c r="G504" s="79"/>
      <c r="H504" s="80"/>
      <c r="I504" s="90">
        <v>4</v>
      </c>
      <c r="J504" s="21"/>
      <c r="K504" s="51">
        <v>0.5</v>
      </c>
      <c r="L504" s="26"/>
      <c r="M504" s="26"/>
      <c r="N504" s="26"/>
      <c r="O504" s="26"/>
      <c r="P504" s="26"/>
      <c r="Q504" s="26"/>
      <c r="R504" s="26"/>
      <c r="S504" s="26"/>
      <c r="T504" s="26"/>
      <c r="U504" s="26"/>
      <c r="V504" s="26"/>
      <c r="W504" s="26"/>
      <c r="X504" s="26"/>
      <c r="Y504" s="26"/>
      <c r="Z504" s="26"/>
    </row>
    <row r="505" spans="1:26" ht="25.5" x14ac:dyDescent="0.2">
      <c r="A505" s="21"/>
      <c r="B505" s="35"/>
      <c r="C505" s="21"/>
      <c r="D505" s="90"/>
      <c r="E505" s="79"/>
      <c r="F505" s="90">
        <v>0</v>
      </c>
      <c r="G505" s="79" t="s">
        <v>507</v>
      </c>
      <c r="H505" s="80"/>
      <c r="I505" s="90"/>
      <c r="J505" s="21"/>
      <c r="K505" s="51"/>
      <c r="L505" s="26"/>
      <c r="M505" s="26"/>
      <c r="N505" s="26"/>
      <c r="O505" s="26"/>
      <c r="P505" s="26"/>
      <c r="Q505" s="26"/>
      <c r="R505" s="26"/>
      <c r="S505" s="26"/>
      <c r="T505" s="26"/>
      <c r="U505" s="26"/>
      <c r="V505" s="26"/>
      <c r="W505" s="26"/>
      <c r="X505" s="26"/>
      <c r="Y505" s="26"/>
      <c r="Z505" s="26"/>
    </row>
    <row r="506" spans="1:26" ht="25.5" x14ac:dyDescent="0.2">
      <c r="A506" s="21"/>
      <c r="B506" s="35"/>
      <c r="C506" s="21"/>
      <c r="D506" s="90"/>
      <c r="E506" s="79"/>
      <c r="F506" s="90">
        <v>1</v>
      </c>
      <c r="G506" s="79" t="s">
        <v>508</v>
      </c>
      <c r="H506" s="80"/>
      <c r="I506" s="90"/>
      <c r="J506" s="21"/>
      <c r="K506" s="51"/>
      <c r="L506" s="26"/>
      <c r="M506" s="26"/>
      <c r="N506" s="26"/>
      <c r="O506" s="26"/>
      <c r="P506" s="26"/>
      <c r="Q506" s="26"/>
      <c r="R506" s="26"/>
      <c r="S506" s="26"/>
      <c r="T506" s="26"/>
      <c r="U506" s="26"/>
      <c r="V506" s="26"/>
      <c r="W506" s="26"/>
      <c r="X506" s="26"/>
      <c r="Y506" s="26"/>
      <c r="Z506" s="26"/>
    </row>
    <row r="507" spans="1:26" ht="25.5" x14ac:dyDescent="0.2">
      <c r="A507" s="21"/>
      <c r="B507" s="35"/>
      <c r="C507" s="21"/>
      <c r="D507" s="90"/>
      <c r="E507" s="79"/>
      <c r="F507" s="90">
        <v>2</v>
      </c>
      <c r="G507" s="79" t="s">
        <v>509</v>
      </c>
      <c r="H507" s="80"/>
      <c r="I507" s="90"/>
      <c r="J507" s="21"/>
      <c r="K507" s="51"/>
      <c r="L507" s="26"/>
      <c r="M507" s="26"/>
      <c r="N507" s="26"/>
      <c r="O507" s="26"/>
      <c r="P507" s="26"/>
      <c r="Q507" s="26"/>
      <c r="R507" s="26"/>
      <c r="S507" s="26"/>
      <c r="T507" s="26"/>
      <c r="U507" s="26"/>
      <c r="V507" s="26"/>
      <c r="W507" s="26"/>
      <c r="X507" s="26"/>
      <c r="Y507" s="26"/>
      <c r="Z507" s="26"/>
    </row>
    <row r="508" spans="1:26" ht="25.5" x14ac:dyDescent="0.2">
      <c r="A508" s="21"/>
      <c r="B508" s="35"/>
      <c r="C508" s="21"/>
      <c r="D508" s="90"/>
      <c r="E508" s="79"/>
      <c r="F508" s="90">
        <v>3</v>
      </c>
      <c r="G508" s="79" t="s">
        <v>510</v>
      </c>
      <c r="H508" s="80"/>
      <c r="I508" s="90"/>
      <c r="J508" s="21"/>
      <c r="K508" s="51"/>
      <c r="L508" s="26"/>
      <c r="M508" s="26"/>
      <c r="N508" s="26"/>
      <c r="O508" s="26"/>
      <c r="P508" s="26"/>
      <c r="Q508" s="26"/>
      <c r="R508" s="26"/>
      <c r="S508" s="26"/>
      <c r="T508" s="26"/>
      <c r="U508" s="26"/>
      <c r="V508" s="26"/>
      <c r="W508" s="26"/>
      <c r="X508" s="26"/>
      <c r="Y508" s="26"/>
      <c r="Z508" s="26"/>
    </row>
    <row r="509" spans="1:26" ht="25.5" x14ac:dyDescent="0.2">
      <c r="A509" s="21"/>
      <c r="B509" s="35"/>
      <c r="C509" s="21" t="s">
        <v>292</v>
      </c>
      <c r="D509" s="21" t="s">
        <v>43</v>
      </c>
      <c r="E509" s="35" t="s">
        <v>572</v>
      </c>
      <c r="F509" s="34" t="s">
        <v>292</v>
      </c>
      <c r="G509" s="35" t="s">
        <v>292</v>
      </c>
      <c r="H509" s="72" t="s">
        <v>292</v>
      </c>
      <c r="I509" s="21">
        <v>4</v>
      </c>
      <c r="J509" s="21"/>
      <c r="K509" s="51">
        <v>0.75</v>
      </c>
      <c r="L509" s="26"/>
      <c r="M509" s="26"/>
      <c r="N509" s="26"/>
      <c r="O509" s="26"/>
      <c r="P509" s="26"/>
      <c r="Q509" s="26"/>
      <c r="R509" s="26"/>
      <c r="S509" s="26"/>
      <c r="T509" s="26"/>
      <c r="U509" s="26"/>
      <c r="V509" s="26"/>
      <c r="W509" s="26"/>
      <c r="X509" s="26"/>
      <c r="Y509" s="26"/>
      <c r="Z509" s="26"/>
    </row>
    <row r="510" spans="1:26" ht="38.25" x14ac:dyDescent="0.2">
      <c r="A510" s="21" t="s">
        <v>292</v>
      </c>
      <c r="B510" s="35"/>
      <c r="C510" s="21" t="s">
        <v>292</v>
      </c>
      <c r="D510" s="21"/>
      <c r="E510" s="35" t="s">
        <v>292</v>
      </c>
      <c r="F510" s="34">
        <v>0</v>
      </c>
      <c r="G510" s="49" t="s">
        <v>330</v>
      </c>
      <c r="H510" s="72" t="s">
        <v>292</v>
      </c>
      <c r="I510" s="21"/>
      <c r="J510" s="21"/>
      <c r="K510" s="51"/>
      <c r="L510" s="26"/>
      <c r="M510" s="26"/>
      <c r="N510" s="26"/>
      <c r="O510" s="26"/>
      <c r="P510" s="26"/>
      <c r="Q510" s="26"/>
      <c r="R510" s="26"/>
      <c r="S510" s="26"/>
      <c r="T510" s="26"/>
      <c r="U510" s="26"/>
      <c r="V510" s="26"/>
      <c r="W510" s="26"/>
      <c r="X510" s="26"/>
      <c r="Y510" s="26"/>
      <c r="Z510" s="26"/>
    </row>
    <row r="511" spans="1:26" ht="25.5" x14ac:dyDescent="0.2">
      <c r="A511" s="21" t="s">
        <v>292</v>
      </c>
      <c r="B511" s="35"/>
      <c r="C511" s="21" t="s">
        <v>292</v>
      </c>
      <c r="D511" s="21"/>
      <c r="E511" s="35" t="s">
        <v>292</v>
      </c>
      <c r="F511" s="34">
        <v>1</v>
      </c>
      <c r="G511" s="49" t="s">
        <v>331</v>
      </c>
      <c r="H511" s="72" t="s">
        <v>292</v>
      </c>
      <c r="I511" s="21"/>
      <c r="J511" s="21"/>
      <c r="K511" s="51"/>
      <c r="L511" s="26"/>
      <c r="M511" s="26"/>
      <c r="N511" s="26"/>
      <c r="O511" s="26"/>
      <c r="P511" s="26"/>
      <c r="Q511" s="26"/>
      <c r="R511" s="26"/>
      <c r="S511" s="26"/>
      <c r="T511" s="26"/>
      <c r="U511" s="26"/>
      <c r="V511" s="26"/>
      <c r="W511" s="26"/>
      <c r="X511" s="26"/>
      <c r="Y511" s="26"/>
      <c r="Z511" s="26"/>
    </row>
    <row r="512" spans="1:26" ht="25.5" x14ac:dyDescent="0.2">
      <c r="A512" s="21" t="s">
        <v>292</v>
      </c>
      <c r="B512" s="35"/>
      <c r="C512" s="21" t="s">
        <v>292</v>
      </c>
      <c r="D512" s="21"/>
      <c r="E512" s="35" t="s">
        <v>292</v>
      </c>
      <c r="F512" s="34">
        <v>2</v>
      </c>
      <c r="G512" s="49" t="s">
        <v>332</v>
      </c>
      <c r="H512" s="72" t="s">
        <v>292</v>
      </c>
      <c r="I512" s="21"/>
      <c r="J512" s="21"/>
      <c r="K512" s="51"/>
      <c r="L512" s="26"/>
      <c r="M512" s="26"/>
      <c r="N512" s="26"/>
      <c r="O512" s="26"/>
      <c r="P512" s="26"/>
      <c r="Q512" s="26"/>
      <c r="R512" s="26"/>
      <c r="S512" s="26"/>
      <c r="T512" s="26"/>
      <c r="U512" s="26"/>
      <c r="V512" s="26"/>
      <c r="W512" s="26"/>
      <c r="X512" s="26"/>
      <c r="Y512" s="26"/>
      <c r="Z512" s="26"/>
    </row>
    <row r="513" spans="1:26" ht="38.25" x14ac:dyDescent="0.2">
      <c r="A513" s="21" t="s">
        <v>292</v>
      </c>
      <c r="B513" s="35"/>
      <c r="C513" s="21" t="s">
        <v>292</v>
      </c>
      <c r="D513" s="21"/>
      <c r="E513" s="35" t="s">
        <v>292</v>
      </c>
      <c r="F513" s="34">
        <v>3</v>
      </c>
      <c r="G513" s="49" t="s">
        <v>573</v>
      </c>
      <c r="H513" s="72" t="s">
        <v>292</v>
      </c>
      <c r="I513" s="21"/>
      <c r="J513" s="21"/>
      <c r="K513" s="51"/>
      <c r="L513" s="26"/>
      <c r="M513" s="26"/>
      <c r="N513" s="26"/>
      <c r="O513" s="26"/>
      <c r="P513" s="26"/>
      <c r="Q513" s="26"/>
      <c r="R513" s="26"/>
      <c r="S513" s="26"/>
      <c r="T513" s="26"/>
      <c r="U513" s="26"/>
      <c r="V513" s="26"/>
      <c r="W513" s="26"/>
      <c r="X513" s="26"/>
      <c r="Y513" s="26"/>
      <c r="Z513" s="26"/>
    </row>
    <row r="514" spans="1:26" ht="25.5" x14ac:dyDescent="0.2">
      <c r="A514" s="21"/>
      <c r="B514" s="35"/>
      <c r="C514" s="21" t="s">
        <v>292</v>
      </c>
      <c r="D514" s="21" t="s">
        <v>43</v>
      </c>
      <c r="E514" s="35" t="s">
        <v>574</v>
      </c>
      <c r="F514" s="21" t="s">
        <v>292</v>
      </c>
      <c r="G514" s="35" t="s">
        <v>292</v>
      </c>
      <c r="H514" s="72" t="s">
        <v>292</v>
      </c>
      <c r="I514" s="21">
        <v>4</v>
      </c>
      <c r="J514" s="21"/>
      <c r="K514" s="51">
        <v>0.75</v>
      </c>
      <c r="L514" s="26"/>
      <c r="M514" s="26"/>
      <c r="N514" s="26"/>
      <c r="O514" s="26"/>
      <c r="P514" s="26"/>
      <c r="Q514" s="26"/>
      <c r="R514" s="26"/>
      <c r="S514" s="26"/>
      <c r="T514" s="26"/>
      <c r="U514" s="26"/>
      <c r="V514" s="26"/>
      <c r="W514" s="26"/>
      <c r="X514" s="26"/>
      <c r="Y514" s="26"/>
      <c r="Z514" s="26"/>
    </row>
    <row r="515" spans="1:26" ht="25.5" x14ac:dyDescent="0.2">
      <c r="A515" s="21"/>
      <c r="B515" s="35"/>
      <c r="C515" s="21" t="s">
        <v>292</v>
      </c>
      <c r="D515" s="21"/>
      <c r="E515" s="35" t="s">
        <v>292</v>
      </c>
      <c r="F515" s="21">
        <v>0</v>
      </c>
      <c r="G515" s="35" t="s">
        <v>233</v>
      </c>
      <c r="H515" s="72" t="s">
        <v>292</v>
      </c>
      <c r="I515" s="21"/>
      <c r="J515" s="21"/>
      <c r="K515" s="51"/>
      <c r="L515" s="26"/>
      <c r="M515" s="26"/>
      <c r="N515" s="26"/>
      <c r="O515" s="26"/>
      <c r="P515" s="26"/>
      <c r="Q515" s="26"/>
      <c r="R515" s="26"/>
      <c r="S515" s="26"/>
      <c r="T515" s="26"/>
      <c r="U515" s="26"/>
      <c r="V515" s="26"/>
      <c r="W515" s="26"/>
      <c r="X515" s="26"/>
      <c r="Y515" s="26"/>
      <c r="Z515" s="26"/>
    </row>
    <row r="516" spans="1:26" ht="12.75" x14ac:dyDescent="0.2">
      <c r="A516" s="21"/>
      <c r="B516" s="35"/>
      <c r="C516" s="21" t="s">
        <v>292</v>
      </c>
      <c r="D516" s="21"/>
      <c r="E516" s="35" t="s">
        <v>292</v>
      </c>
      <c r="F516" s="21">
        <v>1</v>
      </c>
      <c r="G516" s="35" t="s">
        <v>116</v>
      </c>
      <c r="H516" s="72" t="s">
        <v>292</v>
      </c>
      <c r="I516" s="21"/>
      <c r="J516" s="21"/>
      <c r="K516" s="51"/>
      <c r="L516" s="26"/>
      <c r="M516" s="26"/>
      <c r="N516" s="26"/>
      <c r="O516" s="26"/>
      <c r="P516" s="26"/>
      <c r="Q516" s="26"/>
      <c r="R516" s="26"/>
      <c r="S516" s="26"/>
      <c r="T516" s="26"/>
      <c r="U516" s="26"/>
      <c r="V516" s="26"/>
      <c r="W516" s="26"/>
      <c r="X516" s="26"/>
      <c r="Y516" s="26"/>
      <c r="Z516" s="26"/>
    </row>
    <row r="517" spans="1:26" ht="12.75" x14ac:dyDescent="0.2">
      <c r="A517" s="21"/>
      <c r="B517" s="35"/>
      <c r="C517" s="21" t="s">
        <v>292</v>
      </c>
      <c r="D517" s="21"/>
      <c r="E517" s="35" t="s">
        <v>292</v>
      </c>
      <c r="F517" s="21">
        <v>2</v>
      </c>
      <c r="G517" s="35" t="s">
        <v>117</v>
      </c>
      <c r="H517" s="72" t="s">
        <v>292</v>
      </c>
      <c r="I517" s="21"/>
      <c r="J517" s="21"/>
      <c r="K517" s="51"/>
      <c r="L517" s="26"/>
      <c r="M517" s="26"/>
      <c r="N517" s="26"/>
      <c r="O517" s="26"/>
      <c r="P517" s="26"/>
      <c r="Q517" s="26"/>
      <c r="R517" s="26"/>
      <c r="S517" s="26"/>
      <c r="T517" s="26"/>
      <c r="U517" s="26"/>
      <c r="V517" s="26"/>
      <c r="W517" s="26"/>
      <c r="X517" s="26"/>
      <c r="Y517" s="26"/>
      <c r="Z517" s="26"/>
    </row>
    <row r="518" spans="1:26" ht="25.5" x14ac:dyDescent="0.2">
      <c r="A518" s="21"/>
      <c r="B518" s="35"/>
      <c r="C518" s="21" t="s">
        <v>292</v>
      </c>
      <c r="D518" s="21"/>
      <c r="E518" s="35" t="s">
        <v>292</v>
      </c>
      <c r="F518" s="21">
        <v>3</v>
      </c>
      <c r="G518" s="35" t="s">
        <v>234</v>
      </c>
      <c r="H518" s="72" t="s">
        <v>292</v>
      </c>
      <c r="I518" s="21"/>
      <c r="J518" s="21"/>
      <c r="K518" s="51"/>
      <c r="L518" s="26"/>
      <c r="M518" s="26"/>
      <c r="N518" s="26"/>
      <c r="O518" s="26"/>
      <c r="P518" s="26"/>
      <c r="Q518" s="26"/>
      <c r="R518" s="26"/>
      <c r="S518" s="26"/>
      <c r="T518" s="26"/>
      <c r="U518" s="26"/>
      <c r="V518" s="26"/>
      <c r="W518" s="26"/>
      <c r="X518" s="26"/>
      <c r="Y518" s="26"/>
      <c r="Z518" s="26"/>
    </row>
    <row r="519" spans="1:26" ht="51" x14ac:dyDescent="0.2">
      <c r="A519" s="21"/>
      <c r="B519" s="35"/>
      <c r="C519" s="21" t="s">
        <v>292</v>
      </c>
      <c r="D519" s="21" t="s">
        <v>43</v>
      </c>
      <c r="E519" s="35" t="s">
        <v>575</v>
      </c>
      <c r="F519" s="21" t="s">
        <v>292</v>
      </c>
      <c r="G519" s="35" t="s">
        <v>292</v>
      </c>
      <c r="H519" s="72" t="s">
        <v>292</v>
      </c>
      <c r="I519" s="21">
        <v>4</v>
      </c>
      <c r="J519" s="21"/>
      <c r="K519" s="51">
        <v>0.75</v>
      </c>
      <c r="L519" s="26"/>
      <c r="M519" s="26"/>
      <c r="N519" s="26"/>
      <c r="O519" s="26"/>
      <c r="P519" s="26"/>
      <c r="Q519" s="26"/>
      <c r="R519" s="26"/>
      <c r="S519" s="26"/>
      <c r="T519" s="26"/>
      <c r="U519" s="26"/>
      <c r="V519" s="26"/>
      <c r="W519" s="26"/>
      <c r="X519" s="26"/>
      <c r="Y519" s="26"/>
      <c r="Z519" s="26"/>
    </row>
    <row r="520" spans="1:26" ht="12.75" x14ac:dyDescent="0.2">
      <c r="A520" s="21" t="s">
        <v>292</v>
      </c>
      <c r="B520" s="35"/>
      <c r="C520" s="21" t="s">
        <v>292</v>
      </c>
      <c r="D520" s="21"/>
      <c r="E520" s="35" t="s">
        <v>292</v>
      </c>
      <c r="F520" s="21">
        <v>0</v>
      </c>
      <c r="G520" s="35" t="s">
        <v>45</v>
      </c>
      <c r="H520" s="72" t="s">
        <v>292</v>
      </c>
      <c r="I520" s="21"/>
      <c r="J520" s="21"/>
      <c r="K520" s="51"/>
      <c r="L520" s="26"/>
      <c r="M520" s="26"/>
      <c r="N520" s="26"/>
      <c r="O520" s="26"/>
      <c r="P520" s="26"/>
      <c r="Q520" s="26"/>
      <c r="R520" s="26"/>
      <c r="S520" s="26"/>
      <c r="T520" s="26"/>
      <c r="U520" s="26"/>
      <c r="V520" s="26"/>
      <c r="W520" s="26"/>
      <c r="X520" s="26"/>
      <c r="Y520" s="26"/>
      <c r="Z520" s="26"/>
    </row>
    <row r="521" spans="1:26" ht="12.75" x14ac:dyDescent="0.2">
      <c r="A521" s="21" t="s">
        <v>292</v>
      </c>
      <c r="B521" s="35"/>
      <c r="C521" s="21" t="s">
        <v>292</v>
      </c>
      <c r="D521" s="21"/>
      <c r="E521" s="35" t="s">
        <v>292</v>
      </c>
      <c r="F521" s="21">
        <v>1</v>
      </c>
      <c r="G521" s="35" t="s">
        <v>46</v>
      </c>
      <c r="H521" s="72" t="s">
        <v>292</v>
      </c>
      <c r="I521" s="21"/>
      <c r="J521" s="21"/>
      <c r="K521" s="51"/>
      <c r="L521" s="26"/>
      <c r="M521" s="26"/>
      <c r="N521" s="26"/>
      <c r="O521" s="26"/>
      <c r="P521" s="26"/>
      <c r="Q521" s="26"/>
      <c r="R521" s="26"/>
      <c r="S521" s="26"/>
      <c r="T521" s="26"/>
      <c r="U521" s="26"/>
      <c r="V521" s="26"/>
      <c r="W521" s="26"/>
      <c r="X521" s="26"/>
      <c r="Y521" s="26"/>
      <c r="Z521" s="26"/>
    </row>
    <row r="522" spans="1:26" ht="12.75" x14ac:dyDescent="0.2">
      <c r="A522" s="21" t="s">
        <v>292</v>
      </c>
      <c r="B522" s="35"/>
      <c r="C522" s="21" t="s">
        <v>292</v>
      </c>
      <c r="D522" s="21"/>
      <c r="E522" s="35" t="s">
        <v>292</v>
      </c>
      <c r="F522" s="21">
        <v>2</v>
      </c>
      <c r="G522" s="35" t="s">
        <v>47</v>
      </c>
      <c r="H522" s="72" t="s">
        <v>292</v>
      </c>
      <c r="I522" s="21"/>
      <c r="J522" s="21"/>
      <c r="K522" s="51"/>
      <c r="L522" s="26"/>
      <c r="M522" s="26"/>
      <c r="N522" s="26"/>
      <c r="O522" s="26"/>
      <c r="P522" s="26"/>
      <c r="Q522" s="26"/>
      <c r="R522" s="26"/>
      <c r="S522" s="26"/>
      <c r="T522" s="26"/>
      <c r="U522" s="26"/>
      <c r="V522" s="26"/>
      <c r="W522" s="26"/>
      <c r="X522" s="26"/>
      <c r="Y522" s="26"/>
      <c r="Z522" s="26"/>
    </row>
    <row r="523" spans="1:26" ht="38.25" x14ac:dyDescent="0.2">
      <c r="A523" s="21" t="s">
        <v>292</v>
      </c>
      <c r="B523" s="35"/>
      <c r="C523" s="21" t="s">
        <v>292</v>
      </c>
      <c r="D523" s="21"/>
      <c r="E523" s="35" t="s">
        <v>292</v>
      </c>
      <c r="F523" s="21">
        <v>3</v>
      </c>
      <c r="G523" s="35" t="s">
        <v>576</v>
      </c>
      <c r="H523" s="72" t="s">
        <v>292</v>
      </c>
      <c r="I523" s="21"/>
      <c r="J523" s="21"/>
      <c r="K523" s="51"/>
      <c r="L523" s="26"/>
      <c r="M523" s="26"/>
      <c r="N523" s="26"/>
      <c r="O523" s="26"/>
      <c r="P523" s="26"/>
      <c r="Q523" s="26"/>
      <c r="R523" s="26"/>
      <c r="S523" s="26"/>
      <c r="T523" s="26"/>
      <c r="U523" s="26"/>
      <c r="V523" s="26"/>
      <c r="W523" s="26"/>
      <c r="X523" s="26"/>
      <c r="Y523" s="26"/>
      <c r="Z523" s="26"/>
    </row>
    <row r="524" spans="1:26" ht="12.75" x14ac:dyDescent="0.2">
      <c r="A524" s="21" t="s">
        <v>577</v>
      </c>
      <c r="B524" s="35" t="s">
        <v>55</v>
      </c>
      <c r="C524" s="72">
        <v>3</v>
      </c>
      <c r="D524" s="21"/>
      <c r="E524" s="50"/>
      <c r="F524" s="21"/>
      <c r="G524" s="50"/>
      <c r="H524" s="72"/>
      <c r="I524" s="21"/>
      <c r="J524" s="21"/>
      <c r="K524" s="51"/>
      <c r="L524" s="26"/>
      <c r="M524" s="26"/>
      <c r="N524" s="26"/>
      <c r="O524" s="26"/>
      <c r="P524" s="26"/>
      <c r="Q524" s="26"/>
      <c r="R524" s="26"/>
      <c r="S524" s="26"/>
      <c r="T524" s="26"/>
      <c r="U524" s="26"/>
      <c r="V524" s="26"/>
      <c r="W524" s="26"/>
      <c r="X524" s="26"/>
      <c r="Y524" s="26"/>
      <c r="Z524" s="26"/>
    </row>
    <row r="525" spans="1:26" ht="12.75" x14ac:dyDescent="0.2">
      <c r="A525" s="21"/>
      <c r="B525" s="35"/>
      <c r="C525" s="21" t="s">
        <v>292</v>
      </c>
      <c r="D525" s="21" t="s">
        <v>43</v>
      </c>
      <c r="E525" s="50" t="s">
        <v>578</v>
      </c>
      <c r="F525" s="21" t="s">
        <v>292</v>
      </c>
      <c r="G525" s="50" t="s">
        <v>292</v>
      </c>
      <c r="H525" s="72" t="s">
        <v>292</v>
      </c>
      <c r="I525" s="21">
        <v>4</v>
      </c>
      <c r="J525" s="21"/>
      <c r="K525" s="51">
        <v>0.5</v>
      </c>
      <c r="L525" s="26"/>
      <c r="M525" s="26"/>
      <c r="N525" s="26"/>
      <c r="O525" s="26"/>
      <c r="P525" s="26"/>
      <c r="Q525" s="26"/>
      <c r="R525" s="26"/>
      <c r="S525" s="26"/>
      <c r="T525" s="26"/>
      <c r="U525" s="26"/>
      <c r="V525" s="26"/>
      <c r="W525" s="26"/>
      <c r="X525" s="26"/>
      <c r="Y525" s="26"/>
      <c r="Z525" s="26"/>
    </row>
    <row r="526" spans="1:26" ht="12.75" x14ac:dyDescent="0.2">
      <c r="A526" s="21" t="s">
        <v>292</v>
      </c>
      <c r="B526" s="35"/>
      <c r="C526" s="21" t="s">
        <v>292</v>
      </c>
      <c r="D526" s="21"/>
      <c r="E526" s="50" t="s">
        <v>292</v>
      </c>
      <c r="F526" s="21">
        <v>0</v>
      </c>
      <c r="G526" s="35" t="s">
        <v>579</v>
      </c>
      <c r="H526" s="72" t="s">
        <v>292</v>
      </c>
      <c r="I526" s="21"/>
      <c r="J526" s="21"/>
      <c r="K526" s="51"/>
      <c r="L526" s="26"/>
      <c r="M526" s="26"/>
      <c r="N526" s="26"/>
      <c r="O526" s="26"/>
      <c r="P526" s="26"/>
      <c r="Q526" s="26"/>
      <c r="R526" s="26"/>
      <c r="S526" s="26"/>
      <c r="T526" s="26"/>
      <c r="U526" s="26"/>
      <c r="V526" s="26"/>
      <c r="W526" s="26"/>
      <c r="X526" s="26"/>
      <c r="Y526" s="26"/>
      <c r="Z526" s="26"/>
    </row>
    <row r="527" spans="1:26" ht="25.5" x14ac:dyDescent="0.2">
      <c r="A527" s="21" t="s">
        <v>292</v>
      </c>
      <c r="B527" s="35"/>
      <c r="C527" s="21" t="s">
        <v>292</v>
      </c>
      <c r="D527" s="21"/>
      <c r="E527" s="50" t="s">
        <v>292</v>
      </c>
      <c r="F527" s="21">
        <v>1</v>
      </c>
      <c r="G527" s="35" t="s">
        <v>580</v>
      </c>
      <c r="H527" s="72" t="s">
        <v>292</v>
      </c>
      <c r="I527" s="21"/>
      <c r="J527" s="21"/>
      <c r="K527" s="51"/>
      <c r="L527" s="26"/>
      <c r="M527" s="26"/>
      <c r="N527" s="26"/>
      <c r="O527" s="26"/>
      <c r="P527" s="26"/>
      <c r="Q527" s="26"/>
      <c r="R527" s="26"/>
      <c r="S527" s="26"/>
      <c r="T527" s="26"/>
      <c r="U527" s="26"/>
      <c r="V527" s="26"/>
      <c r="W527" s="26"/>
      <c r="X527" s="26"/>
      <c r="Y527" s="26"/>
      <c r="Z527" s="26"/>
    </row>
    <row r="528" spans="1:26" ht="12.75" x14ac:dyDescent="0.2">
      <c r="A528" s="21" t="s">
        <v>292</v>
      </c>
      <c r="B528" s="35"/>
      <c r="C528" s="21" t="s">
        <v>292</v>
      </c>
      <c r="D528" s="21"/>
      <c r="E528" s="50" t="s">
        <v>292</v>
      </c>
      <c r="F528" s="21">
        <v>2</v>
      </c>
      <c r="G528" s="35" t="s">
        <v>581</v>
      </c>
      <c r="H528" s="72" t="s">
        <v>292</v>
      </c>
      <c r="I528" s="21"/>
      <c r="J528" s="21"/>
      <c r="K528" s="51"/>
      <c r="L528" s="26"/>
      <c r="M528" s="26"/>
      <c r="N528" s="26"/>
      <c r="O528" s="26"/>
      <c r="P528" s="26"/>
      <c r="Q528" s="26"/>
      <c r="R528" s="26"/>
      <c r="S528" s="26"/>
      <c r="T528" s="26"/>
      <c r="U528" s="26"/>
      <c r="V528" s="26"/>
      <c r="W528" s="26"/>
      <c r="X528" s="26"/>
      <c r="Y528" s="26"/>
      <c r="Z528" s="26"/>
    </row>
    <row r="529" spans="1:26" ht="25.5" x14ac:dyDescent="0.2">
      <c r="A529" s="21"/>
      <c r="B529" s="35"/>
      <c r="C529" s="21" t="s">
        <v>292</v>
      </c>
      <c r="D529" s="21"/>
      <c r="E529" s="50" t="s">
        <v>292</v>
      </c>
      <c r="F529" s="21">
        <v>3</v>
      </c>
      <c r="G529" s="35" t="s">
        <v>582</v>
      </c>
      <c r="H529" s="72" t="s">
        <v>292</v>
      </c>
      <c r="I529" s="21"/>
      <c r="J529" s="21"/>
      <c r="K529" s="51"/>
      <c r="L529" s="26"/>
      <c r="M529" s="26"/>
      <c r="N529" s="26"/>
      <c r="O529" s="26"/>
      <c r="P529" s="26"/>
      <c r="Q529" s="26"/>
      <c r="R529" s="26"/>
      <c r="S529" s="26"/>
      <c r="T529" s="26"/>
      <c r="U529" s="26"/>
      <c r="V529" s="26"/>
      <c r="W529" s="26"/>
      <c r="X529" s="26"/>
      <c r="Y529" s="26"/>
      <c r="Z529" s="26"/>
    </row>
    <row r="530" spans="1:26" ht="38.25" x14ac:dyDescent="0.2">
      <c r="A530" s="21"/>
      <c r="B530" s="35"/>
      <c r="C530" s="21" t="s">
        <v>292</v>
      </c>
      <c r="D530" s="21" t="s">
        <v>43</v>
      </c>
      <c r="E530" s="35" t="s">
        <v>583</v>
      </c>
      <c r="F530" s="34" t="s">
        <v>292</v>
      </c>
      <c r="G530" s="35" t="s">
        <v>292</v>
      </c>
      <c r="H530" s="72" t="s">
        <v>292</v>
      </c>
      <c r="I530" s="21">
        <v>4</v>
      </c>
      <c r="J530" s="21"/>
      <c r="K530" s="51">
        <v>0.5</v>
      </c>
      <c r="L530" s="26"/>
      <c r="M530" s="26"/>
      <c r="N530" s="26"/>
      <c r="O530" s="26"/>
      <c r="P530" s="26"/>
      <c r="Q530" s="26"/>
      <c r="R530" s="26"/>
      <c r="S530" s="26"/>
      <c r="T530" s="26"/>
      <c r="U530" s="26"/>
      <c r="V530" s="26"/>
      <c r="W530" s="26"/>
      <c r="X530" s="26"/>
      <c r="Y530" s="26"/>
      <c r="Z530" s="26"/>
    </row>
    <row r="531" spans="1:26" ht="25.5" x14ac:dyDescent="0.2">
      <c r="A531" s="21"/>
      <c r="B531" s="35"/>
      <c r="C531" s="21" t="s">
        <v>292</v>
      </c>
      <c r="D531" s="21"/>
      <c r="E531" s="35" t="s">
        <v>292</v>
      </c>
      <c r="F531" s="34">
        <v>0</v>
      </c>
      <c r="G531" s="35" t="s">
        <v>365</v>
      </c>
      <c r="H531" s="72" t="s">
        <v>292</v>
      </c>
      <c r="I531" s="21"/>
      <c r="J531" s="21"/>
      <c r="K531" s="51"/>
      <c r="L531" s="26"/>
      <c r="M531" s="26"/>
      <c r="N531" s="26"/>
      <c r="O531" s="26"/>
      <c r="P531" s="26"/>
      <c r="Q531" s="26"/>
      <c r="R531" s="26"/>
      <c r="S531" s="26"/>
      <c r="T531" s="26"/>
      <c r="U531" s="26"/>
      <c r="V531" s="26"/>
      <c r="W531" s="26"/>
      <c r="X531" s="26"/>
      <c r="Y531" s="26"/>
      <c r="Z531" s="26"/>
    </row>
    <row r="532" spans="1:26" ht="38.25" x14ac:dyDescent="0.2">
      <c r="A532" s="21"/>
      <c r="B532" s="35"/>
      <c r="C532" s="21" t="s">
        <v>292</v>
      </c>
      <c r="D532" s="21"/>
      <c r="E532" s="35" t="s">
        <v>292</v>
      </c>
      <c r="F532" s="34">
        <v>1</v>
      </c>
      <c r="G532" s="35" t="s">
        <v>584</v>
      </c>
      <c r="H532" s="72" t="s">
        <v>292</v>
      </c>
      <c r="I532" s="21"/>
      <c r="J532" s="21"/>
      <c r="K532" s="51"/>
      <c r="L532" s="26"/>
      <c r="M532" s="26"/>
      <c r="N532" s="26"/>
      <c r="O532" s="26"/>
      <c r="P532" s="26"/>
      <c r="Q532" s="26"/>
      <c r="R532" s="26"/>
      <c r="S532" s="26"/>
      <c r="T532" s="26"/>
      <c r="U532" s="26"/>
      <c r="V532" s="26"/>
      <c r="W532" s="26"/>
      <c r="X532" s="26"/>
      <c r="Y532" s="26"/>
      <c r="Z532" s="26"/>
    </row>
    <row r="533" spans="1:26" ht="12.75" x14ac:dyDescent="0.2">
      <c r="A533" s="21"/>
      <c r="B533" s="35"/>
      <c r="C533" s="21" t="s">
        <v>292</v>
      </c>
      <c r="D533" s="21"/>
      <c r="E533" s="35" t="s">
        <v>292</v>
      </c>
      <c r="F533" s="34">
        <v>2</v>
      </c>
      <c r="G533" s="35" t="s">
        <v>371</v>
      </c>
      <c r="H533" s="72" t="s">
        <v>292</v>
      </c>
      <c r="I533" s="21"/>
      <c r="J533" s="21"/>
      <c r="K533" s="51"/>
      <c r="L533" s="26"/>
      <c r="M533" s="26"/>
      <c r="N533" s="26"/>
      <c r="O533" s="26"/>
      <c r="P533" s="26"/>
      <c r="Q533" s="26"/>
      <c r="R533" s="26"/>
      <c r="S533" s="26"/>
      <c r="T533" s="26"/>
      <c r="U533" s="26"/>
      <c r="V533" s="26"/>
      <c r="W533" s="26"/>
      <c r="X533" s="26"/>
      <c r="Y533" s="26"/>
      <c r="Z533" s="26"/>
    </row>
    <row r="534" spans="1:26" ht="25.5" x14ac:dyDescent="0.2">
      <c r="A534" s="21"/>
      <c r="B534" s="35"/>
      <c r="C534" s="21" t="s">
        <v>292</v>
      </c>
      <c r="D534" s="21"/>
      <c r="E534" s="35" t="s">
        <v>292</v>
      </c>
      <c r="F534" s="34">
        <v>3</v>
      </c>
      <c r="G534" s="35" t="s">
        <v>585</v>
      </c>
      <c r="H534" s="72" t="s">
        <v>292</v>
      </c>
      <c r="I534" s="21"/>
      <c r="J534" s="21"/>
      <c r="K534" s="51"/>
      <c r="L534" s="26"/>
      <c r="M534" s="26"/>
      <c r="N534" s="26"/>
      <c r="O534" s="26"/>
      <c r="P534" s="26"/>
      <c r="Q534" s="26"/>
      <c r="R534" s="26"/>
      <c r="S534" s="26"/>
      <c r="T534" s="26"/>
      <c r="U534" s="26"/>
      <c r="V534" s="26"/>
      <c r="W534" s="26"/>
      <c r="X534" s="26"/>
      <c r="Y534" s="26"/>
      <c r="Z534" s="26"/>
    </row>
    <row r="535" spans="1:26" ht="25.5" x14ac:dyDescent="0.2">
      <c r="A535" s="21"/>
      <c r="B535" s="35"/>
      <c r="C535" s="21" t="s">
        <v>292</v>
      </c>
      <c r="D535" s="21" t="s">
        <v>43</v>
      </c>
      <c r="E535" s="35" t="s">
        <v>369</v>
      </c>
      <c r="F535" s="34" t="s">
        <v>292</v>
      </c>
      <c r="G535" s="35" t="s">
        <v>292</v>
      </c>
      <c r="H535" s="72" t="s">
        <v>292</v>
      </c>
      <c r="I535" s="21">
        <v>2</v>
      </c>
      <c r="J535" s="21"/>
      <c r="K535" s="51">
        <v>0.75</v>
      </c>
      <c r="L535" s="26"/>
      <c r="M535" s="26"/>
      <c r="N535" s="26"/>
      <c r="O535" s="26"/>
      <c r="P535" s="26"/>
      <c r="Q535" s="26"/>
      <c r="R535" s="26"/>
      <c r="S535" s="26"/>
      <c r="T535" s="26"/>
      <c r="U535" s="26"/>
      <c r="V535" s="26"/>
      <c r="W535" s="26"/>
      <c r="X535" s="26"/>
      <c r="Y535" s="26"/>
      <c r="Z535" s="26"/>
    </row>
    <row r="536" spans="1:26" ht="12.75" x14ac:dyDescent="0.2">
      <c r="A536" s="21"/>
      <c r="B536" s="35"/>
      <c r="C536" s="21" t="s">
        <v>292</v>
      </c>
      <c r="D536" s="21"/>
      <c r="E536" s="35" t="s">
        <v>292</v>
      </c>
      <c r="F536" s="34">
        <v>0</v>
      </c>
      <c r="G536" s="35" t="s">
        <v>370</v>
      </c>
      <c r="H536" s="72" t="s">
        <v>292</v>
      </c>
      <c r="I536" s="21"/>
      <c r="J536" s="21"/>
      <c r="K536" s="51"/>
      <c r="L536" s="26"/>
      <c r="M536" s="26"/>
      <c r="N536" s="26"/>
      <c r="O536" s="26"/>
      <c r="P536" s="26"/>
      <c r="Q536" s="26"/>
      <c r="R536" s="26"/>
      <c r="S536" s="26"/>
      <c r="T536" s="26"/>
      <c r="U536" s="26"/>
      <c r="V536" s="26"/>
      <c r="W536" s="26"/>
      <c r="X536" s="26"/>
      <c r="Y536" s="26"/>
      <c r="Z536" s="26"/>
    </row>
    <row r="537" spans="1:26" ht="25.5" x14ac:dyDescent="0.2">
      <c r="A537" s="21"/>
      <c r="B537" s="35"/>
      <c r="C537" s="21" t="s">
        <v>292</v>
      </c>
      <c r="D537" s="21"/>
      <c r="E537" s="35" t="s">
        <v>292</v>
      </c>
      <c r="F537" s="34">
        <v>1</v>
      </c>
      <c r="G537" s="35" t="s">
        <v>366</v>
      </c>
      <c r="H537" s="72" t="s">
        <v>292</v>
      </c>
      <c r="I537" s="21"/>
      <c r="J537" s="21"/>
      <c r="K537" s="51"/>
      <c r="L537" s="26"/>
      <c r="M537" s="26"/>
      <c r="N537" s="26"/>
      <c r="O537" s="26"/>
      <c r="P537" s="26"/>
      <c r="Q537" s="26"/>
      <c r="R537" s="26"/>
      <c r="S537" s="26"/>
      <c r="T537" s="26"/>
      <c r="U537" s="26"/>
      <c r="V537" s="26"/>
      <c r="W537" s="26"/>
      <c r="X537" s="26"/>
      <c r="Y537" s="26"/>
      <c r="Z537" s="26"/>
    </row>
    <row r="538" spans="1:26" ht="12.75" x14ac:dyDescent="0.2">
      <c r="A538" s="21"/>
      <c r="B538" s="35"/>
      <c r="C538" s="21" t="s">
        <v>292</v>
      </c>
      <c r="D538" s="21"/>
      <c r="E538" s="35" t="s">
        <v>292</v>
      </c>
      <c r="F538" s="34">
        <v>2</v>
      </c>
      <c r="G538" s="35" t="s">
        <v>367</v>
      </c>
      <c r="H538" s="72" t="s">
        <v>292</v>
      </c>
      <c r="I538" s="21"/>
      <c r="J538" s="21"/>
      <c r="K538" s="51"/>
      <c r="L538" s="26"/>
      <c r="M538" s="26"/>
      <c r="N538" s="26"/>
      <c r="O538" s="26"/>
      <c r="P538" s="26"/>
      <c r="Q538" s="26"/>
      <c r="R538" s="26"/>
      <c r="S538" s="26"/>
      <c r="T538" s="26"/>
      <c r="U538" s="26"/>
      <c r="V538" s="26"/>
      <c r="W538" s="26"/>
      <c r="X538" s="26"/>
      <c r="Y538" s="26"/>
      <c r="Z538" s="26"/>
    </row>
    <row r="539" spans="1:26" ht="38.25" x14ac:dyDescent="0.2">
      <c r="A539" s="21"/>
      <c r="B539" s="35"/>
      <c r="C539" s="21" t="s">
        <v>292</v>
      </c>
      <c r="D539" s="21"/>
      <c r="E539" s="35" t="s">
        <v>292</v>
      </c>
      <c r="F539" s="34">
        <v>3</v>
      </c>
      <c r="G539" s="35" t="s">
        <v>586</v>
      </c>
      <c r="H539" s="72" t="s">
        <v>292</v>
      </c>
      <c r="I539" s="21"/>
      <c r="J539" s="21"/>
      <c r="K539" s="51"/>
      <c r="L539" s="26"/>
      <c r="M539" s="26"/>
      <c r="N539" s="26"/>
      <c r="O539" s="26"/>
      <c r="P539" s="26"/>
      <c r="Q539" s="26"/>
      <c r="R539" s="26"/>
      <c r="S539" s="26"/>
      <c r="T539" s="26"/>
      <c r="U539" s="26"/>
      <c r="V539" s="26"/>
      <c r="W539" s="26"/>
      <c r="X539" s="26"/>
      <c r="Y539" s="26"/>
      <c r="Z539" s="26"/>
    </row>
    <row r="540" spans="1:26" ht="25.5" x14ac:dyDescent="0.2">
      <c r="A540" s="21" t="s">
        <v>587</v>
      </c>
      <c r="B540" s="35" t="s">
        <v>588</v>
      </c>
      <c r="C540" s="21">
        <v>3</v>
      </c>
      <c r="D540" s="21"/>
      <c r="E540" s="35"/>
      <c r="F540" s="21"/>
      <c r="G540" s="35"/>
      <c r="H540" s="89"/>
      <c r="I540" s="21"/>
      <c r="J540" s="21"/>
      <c r="K540" s="51"/>
      <c r="L540" s="26"/>
      <c r="M540" s="26"/>
      <c r="N540" s="26"/>
      <c r="O540" s="26"/>
      <c r="P540" s="26"/>
      <c r="Q540" s="26"/>
      <c r="R540" s="26"/>
      <c r="S540" s="26"/>
      <c r="T540" s="26"/>
      <c r="U540" s="26"/>
      <c r="V540" s="26"/>
      <c r="W540" s="26"/>
      <c r="X540" s="26"/>
      <c r="Y540" s="26"/>
      <c r="Z540" s="26"/>
    </row>
    <row r="541" spans="1:26" ht="12.75" x14ac:dyDescent="0.2">
      <c r="A541" s="21"/>
      <c r="B541" s="35"/>
      <c r="C541" s="21" t="s">
        <v>292</v>
      </c>
      <c r="D541" s="21" t="s">
        <v>67</v>
      </c>
      <c r="E541" s="35" t="s">
        <v>589</v>
      </c>
      <c r="F541" s="21" t="s">
        <v>292</v>
      </c>
      <c r="G541" s="35" t="s">
        <v>590</v>
      </c>
      <c r="H541" s="89" t="s">
        <v>69</v>
      </c>
      <c r="I541" s="21">
        <v>2</v>
      </c>
      <c r="J541" s="21"/>
      <c r="K541" s="51">
        <v>0.25</v>
      </c>
      <c r="L541" s="26"/>
      <c r="M541" s="26"/>
      <c r="N541" s="26"/>
      <c r="O541" s="26"/>
      <c r="P541" s="26"/>
      <c r="Q541" s="26"/>
      <c r="R541" s="26"/>
      <c r="S541" s="26"/>
      <c r="T541" s="26"/>
      <c r="U541" s="26"/>
      <c r="V541" s="26"/>
      <c r="W541" s="26"/>
      <c r="X541" s="26"/>
      <c r="Y541" s="26"/>
      <c r="Z541" s="26"/>
    </row>
    <row r="542" spans="1:26" ht="280.5" x14ac:dyDescent="0.2">
      <c r="A542" s="21"/>
      <c r="B542" s="35"/>
      <c r="C542" s="21"/>
      <c r="D542" s="72" t="s">
        <v>67</v>
      </c>
      <c r="E542" s="35" t="s">
        <v>591</v>
      </c>
      <c r="F542" s="50"/>
      <c r="G542" s="35" t="s">
        <v>592</v>
      </c>
      <c r="H542" s="89" t="s">
        <v>69</v>
      </c>
      <c r="I542" s="72">
        <v>2</v>
      </c>
      <c r="J542" s="72"/>
      <c r="K542" s="51">
        <v>0.5</v>
      </c>
      <c r="L542" s="26"/>
      <c r="M542" s="26"/>
      <c r="N542" s="26"/>
      <c r="O542" s="26"/>
      <c r="P542" s="26"/>
      <c r="Q542" s="26"/>
      <c r="R542" s="26"/>
      <c r="S542" s="26"/>
      <c r="T542" s="26"/>
      <c r="U542" s="26"/>
      <c r="V542" s="26"/>
      <c r="W542" s="26"/>
      <c r="X542" s="26"/>
      <c r="Y542" s="26"/>
      <c r="Z542" s="26"/>
    </row>
    <row r="543" spans="1:26" ht="127.5" x14ac:dyDescent="0.2">
      <c r="A543" s="21"/>
      <c r="B543" s="35"/>
      <c r="C543" s="21"/>
      <c r="D543" s="72" t="s">
        <v>67</v>
      </c>
      <c r="E543" s="35" t="s">
        <v>593</v>
      </c>
      <c r="F543" s="50"/>
      <c r="G543" s="35" t="s">
        <v>594</v>
      </c>
      <c r="H543" s="89" t="s">
        <v>69</v>
      </c>
      <c r="I543" s="72">
        <v>1</v>
      </c>
      <c r="J543" s="72"/>
      <c r="K543" s="51">
        <v>1</v>
      </c>
      <c r="L543" s="26"/>
      <c r="M543" s="26"/>
      <c r="N543" s="26"/>
      <c r="O543" s="26"/>
      <c r="P543" s="26"/>
      <c r="Q543" s="26"/>
      <c r="R543" s="26"/>
      <c r="S543" s="26"/>
      <c r="T543" s="26"/>
      <c r="U543" s="26"/>
      <c r="V543" s="26"/>
      <c r="W543" s="26"/>
      <c r="X543" s="26"/>
      <c r="Y543" s="26"/>
      <c r="Z543" s="26"/>
    </row>
    <row r="544" spans="1:26" ht="25.5" x14ac:dyDescent="0.2">
      <c r="A544" s="21" t="s">
        <v>595</v>
      </c>
      <c r="B544" s="35" t="s">
        <v>588</v>
      </c>
      <c r="C544" s="21">
        <v>3</v>
      </c>
      <c r="D544" s="72"/>
      <c r="E544" s="35"/>
      <c r="F544" s="89"/>
      <c r="G544" s="35"/>
      <c r="H544" s="89"/>
      <c r="I544" s="72"/>
      <c r="J544" s="72"/>
      <c r="K544" s="51"/>
      <c r="L544" s="26"/>
      <c r="M544" s="26"/>
      <c r="N544" s="26"/>
      <c r="O544" s="26"/>
      <c r="P544" s="26"/>
      <c r="Q544" s="26"/>
      <c r="R544" s="26"/>
      <c r="S544" s="26"/>
      <c r="T544" s="26"/>
      <c r="U544" s="26"/>
      <c r="V544" s="26"/>
      <c r="W544" s="26"/>
      <c r="X544" s="26"/>
      <c r="Y544" s="26"/>
      <c r="Z544" s="26"/>
    </row>
    <row r="545" spans="1:26" ht="38.25" x14ac:dyDescent="0.2">
      <c r="A545" s="73"/>
      <c r="B545" s="93"/>
      <c r="C545" s="75" t="s">
        <v>292</v>
      </c>
      <c r="D545" s="75" t="s">
        <v>67</v>
      </c>
      <c r="E545" s="93" t="s">
        <v>596</v>
      </c>
      <c r="F545" s="93" t="s">
        <v>292</v>
      </c>
      <c r="G545" s="49" t="s">
        <v>597</v>
      </c>
      <c r="H545" s="75" t="s">
        <v>69</v>
      </c>
      <c r="I545" s="75">
        <v>5</v>
      </c>
      <c r="J545" s="75"/>
      <c r="K545" s="94">
        <v>0.25</v>
      </c>
      <c r="L545" s="28"/>
      <c r="M545" s="28"/>
      <c r="N545" s="28"/>
      <c r="O545" s="28"/>
      <c r="P545" s="28"/>
      <c r="Q545" s="28"/>
      <c r="R545" s="28"/>
      <c r="S545" s="28"/>
      <c r="T545" s="28"/>
      <c r="U545" s="28"/>
      <c r="V545" s="28"/>
      <c r="W545" s="28"/>
      <c r="X545" s="28"/>
      <c r="Y545" s="28"/>
      <c r="Z545" s="28"/>
    </row>
    <row r="546" spans="1:26" ht="25.5" x14ac:dyDescent="0.2">
      <c r="A546" s="21"/>
      <c r="B546" s="35"/>
      <c r="C546" s="21" t="s">
        <v>292</v>
      </c>
      <c r="D546" s="21" t="s">
        <v>67</v>
      </c>
      <c r="E546" s="35" t="s">
        <v>598</v>
      </c>
      <c r="F546" s="34" t="s">
        <v>292</v>
      </c>
      <c r="G546" s="35" t="s">
        <v>628</v>
      </c>
      <c r="H546" s="89" t="s">
        <v>69</v>
      </c>
      <c r="I546" s="21">
        <v>5</v>
      </c>
      <c r="J546" s="21"/>
      <c r="K546" s="51">
        <v>0.25</v>
      </c>
      <c r="L546" s="26"/>
      <c r="M546" s="26"/>
      <c r="N546" s="26"/>
      <c r="O546" s="26"/>
      <c r="P546" s="26"/>
      <c r="Q546" s="26"/>
      <c r="R546" s="26"/>
      <c r="S546" s="26"/>
      <c r="T546" s="26"/>
      <c r="U546" s="26"/>
      <c r="V546" s="26"/>
      <c r="W546" s="26"/>
      <c r="X546" s="26"/>
      <c r="Y546" s="26"/>
      <c r="Z546" s="26"/>
    </row>
    <row r="547" spans="1:26" ht="38.25" x14ac:dyDescent="0.2">
      <c r="A547" s="21"/>
      <c r="B547" s="35"/>
      <c r="C547" s="21" t="s">
        <v>292</v>
      </c>
      <c r="D547" s="21" t="s">
        <v>67</v>
      </c>
      <c r="E547" s="35" t="s">
        <v>599</v>
      </c>
      <c r="F547" s="34" t="s">
        <v>292</v>
      </c>
      <c r="G547" s="35" t="s">
        <v>600</v>
      </c>
      <c r="H547" s="89" t="s">
        <v>69</v>
      </c>
      <c r="I547" s="21">
        <v>5</v>
      </c>
      <c r="J547" s="21"/>
      <c r="K547" s="51">
        <v>0.25</v>
      </c>
      <c r="L547" s="26"/>
      <c r="M547" s="26"/>
      <c r="N547" s="26"/>
      <c r="O547" s="26"/>
      <c r="P547" s="26"/>
      <c r="Q547" s="26"/>
      <c r="R547" s="26"/>
      <c r="S547" s="26"/>
      <c r="T547" s="26"/>
      <c r="U547" s="26"/>
      <c r="V547" s="26"/>
      <c r="W547" s="26"/>
      <c r="X547" s="26"/>
      <c r="Y547" s="26"/>
      <c r="Z547" s="26"/>
    </row>
    <row r="548" spans="1:26" ht="12.75" x14ac:dyDescent="0.2">
      <c r="A548" s="21"/>
      <c r="B548" s="35"/>
      <c r="C548" s="21" t="s">
        <v>292</v>
      </c>
      <c r="D548" s="21" t="s">
        <v>67</v>
      </c>
      <c r="E548" s="35" t="s">
        <v>601</v>
      </c>
      <c r="F548" s="34" t="s">
        <v>292</v>
      </c>
      <c r="G548" s="35" t="s">
        <v>602</v>
      </c>
      <c r="H548" s="89" t="s">
        <v>69</v>
      </c>
      <c r="I548" s="21">
        <v>2</v>
      </c>
      <c r="J548" s="21"/>
      <c r="K548" s="51">
        <v>0.25</v>
      </c>
      <c r="L548" s="26"/>
      <c r="M548" s="26"/>
      <c r="N548" s="26"/>
      <c r="O548" s="26"/>
      <c r="P548" s="26"/>
      <c r="Q548" s="26"/>
      <c r="R548" s="26"/>
      <c r="S548" s="26"/>
      <c r="T548" s="26"/>
      <c r="U548" s="26"/>
      <c r="V548" s="26"/>
      <c r="W548" s="26"/>
      <c r="X548" s="26"/>
      <c r="Y548" s="26"/>
      <c r="Z548" s="26"/>
    </row>
    <row r="549" spans="1:26" ht="12.75" x14ac:dyDescent="0.2">
      <c r="A549" s="21"/>
      <c r="B549" s="35"/>
      <c r="C549" s="21" t="s">
        <v>292</v>
      </c>
      <c r="D549" s="21" t="s">
        <v>67</v>
      </c>
      <c r="E549" s="35" t="s">
        <v>603</v>
      </c>
      <c r="F549" s="34" t="s">
        <v>292</v>
      </c>
      <c r="G549" s="35" t="s">
        <v>604</v>
      </c>
      <c r="H549" s="89" t="s">
        <v>69</v>
      </c>
      <c r="I549" s="21">
        <v>1</v>
      </c>
      <c r="J549" s="21"/>
      <c r="K549" s="51">
        <v>0.5</v>
      </c>
      <c r="L549" s="26"/>
      <c r="M549" s="26"/>
      <c r="N549" s="26"/>
      <c r="O549" s="26"/>
      <c r="P549" s="26"/>
      <c r="Q549" s="26"/>
      <c r="R549" s="26"/>
      <c r="S549" s="26"/>
      <c r="T549" s="26"/>
      <c r="U549" s="26"/>
      <c r="V549" s="26"/>
      <c r="W549" s="26"/>
      <c r="X549" s="26"/>
      <c r="Y549" s="26"/>
      <c r="Z549" s="26"/>
    </row>
    <row r="550" spans="1:26" ht="12.75" x14ac:dyDescent="0.2">
      <c r="A550" s="21"/>
      <c r="B550" s="35"/>
      <c r="C550" s="21" t="s">
        <v>292</v>
      </c>
      <c r="D550" s="21" t="s">
        <v>67</v>
      </c>
      <c r="E550" s="35" t="s">
        <v>605</v>
      </c>
      <c r="F550" s="34" t="s">
        <v>292</v>
      </c>
      <c r="G550" s="35" t="s">
        <v>606</v>
      </c>
      <c r="H550" s="89" t="s">
        <v>69</v>
      </c>
      <c r="I550" s="21">
        <v>4</v>
      </c>
      <c r="J550" s="21"/>
      <c r="K550" s="51">
        <v>0.25</v>
      </c>
      <c r="L550" s="26"/>
      <c r="M550" s="26"/>
      <c r="N550" s="26"/>
      <c r="O550" s="26"/>
      <c r="P550" s="26"/>
      <c r="Q550" s="26"/>
      <c r="R550" s="26"/>
      <c r="S550" s="26"/>
      <c r="T550" s="26"/>
      <c r="U550" s="26"/>
      <c r="V550" s="26"/>
      <c r="W550" s="26"/>
      <c r="X550" s="26"/>
      <c r="Y550" s="26"/>
      <c r="Z550" s="26"/>
    </row>
    <row r="551" spans="1:26" ht="12.75" x14ac:dyDescent="0.2">
      <c r="A551" s="33"/>
      <c r="B551" s="39"/>
      <c r="C551" s="33"/>
      <c r="D551" s="33"/>
      <c r="E551" s="39"/>
      <c r="F551" s="37"/>
      <c r="G551" s="39"/>
      <c r="H551" s="101"/>
      <c r="I551" s="33"/>
      <c r="J551" s="33"/>
      <c r="K551" s="64"/>
      <c r="L551" s="26"/>
      <c r="M551" s="26"/>
      <c r="N551" s="26"/>
      <c r="O551" s="26"/>
      <c r="P551" s="26"/>
      <c r="Q551" s="26"/>
      <c r="R551" s="26"/>
      <c r="S551" s="26"/>
      <c r="T551" s="26"/>
      <c r="U551" s="26"/>
      <c r="V551" s="26"/>
      <c r="W551" s="26"/>
      <c r="X551" s="26"/>
      <c r="Y551" s="26"/>
      <c r="Z551" s="26"/>
    </row>
    <row r="552" spans="1:26" ht="12.75" customHeight="1" x14ac:dyDescent="0.2">
      <c r="A552" s="12" t="s">
        <v>28</v>
      </c>
      <c r="B552" s="12" t="s">
        <v>29</v>
      </c>
      <c r="C552" s="12" t="s">
        <v>30</v>
      </c>
      <c r="D552" s="12" t="s">
        <v>31</v>
      </c>
      <c r="E552" s="12" t="s">
        <v>32</v>
      </c>
      <c r="F552" s="12" t="s">
        <v>33</v>
      </c>
      <c r="G552" s="12" t="s">
        <v>34</v>
      </c>
      <c r="H552" s="12" t="s">
        <v>35</v>
      </c>
      <c r="I552" s="12" t="s">
        <v>36</v>
      </c>
      <c r="J552" s="12" t="s">
        <v>37</v>
      </c>
      <c r="K552" s="12" t="s">
        <v>38</v>
      </c>
      <c r="L552" s="13" t="s">
        <v>607</v>
      </c>
      <c r="M552" s="14" t="s">
        <v>40</v>
      </c>
      <c r="N552" s="15">
        <f>SUM(K553:K554)</f>
        <v>0</v>
      </c>
    </row>
    <row r="553" spans="1:26" ht="12.75" customHeight="1" x14ac:dyDescent="0.2">
      <c r="A553" s="4" t="s">
        <v>292</v>
      </c>
      <c r="B553" s="25" t="s">
        <v>292</v>
      </c>
      <c r="C553" s="4" t="s">
        <v>292</v>
      </c>
      <c r="D553" s="4" t="s">
        <v>292</v>
      </c>
      <c r="E553" s="25" t="s">
        <v>292</v>
      </c>
      <c r="F553" s="4" t="s">
        <v>292</v>
      </c>
      <c r="G553" s="25" t="s">
        <v>292</v>
      </c>
      <c r="H553" s="25" t="s">
        <v>292</v>
      </c>
      <c r="I553" s="4"/>
      <c r="J553" s="4"/>
      <c r="K553" s="5"/>
    </row>
    <row r="554" spans="1:26" ht="12.75" customHeight="1" x14ac:dyDescent="0.2">
      <c r="A554" s="4" t="s">
        <v>292</v>
      </c>
      <c r="B554" s="25" t="s">
        <v>292</v>
      </c>
      <c r="C554" s="4" t="s">
        <v>292</v>
      </c>
      <c r="D554" s="4" t="s">
        <v>292</v>
      </c>
      <c r="E554" s="25" t="s">
        <v>292</v>
      </c>
      <c r="F554" s="4" t="s">
        <v>292</v>
      </c>
      <c r="G554" s="25" t="s">
        <v>292</v>
      </c>
      <c r="H554" s="25" t="s">
        <v>292</v>
      </c>
      <c r="I554" s="4"/>
      <c r="J554" s="4"/>
      <c r="K554" s="5"/>
    </row>
    <row r="555" spans="1:26" ht="12.75" customHeight="1" x14ac:dyDescent="0.2">
      <c r="A555" s="12" t="s">
        <v>28</v>
      </c>
      <c r="B555" s="12" t="s">
        <v>29</v>
      </c>
      <c r="C555" s="12" t="s">
        <v>30</v>
      </c>
      <c r="D555" s="12" t="s">
        <v>31</v>
      </c>
      <c r="E555" s="12" t="s">
        <v>32</v>
      </c>
      <c r="F555" s="12" t="s">
        <v>33</v>
      </c>
      <c r="G555" s="12" t="s">
        <v>34</v>
      </c>
      <c r="H555" s="12" t="s">
        <v>35</v>
      </c>
      <c r="I555" s="12" t="s">
        <v>36</v>
      </c>
      <c r="J555" s="12" t="s">
        <v>37</v>
      </c>
      <c r="K555" s="12" t="s">
        <v>38</v>
      </c>
      <c r="L555" s="13" t="s">
        <v>608</v>
      </c>
      <c r="M555" s="14" t="s">
        <v>40</v>
      </c>
      <c r="N555" s="15">
        <f>SUM(K556:K557)</f>
        <v>0</v>
      </c>
    </row>
    <row r="556" spans="1:26" ht="12.75" customHeight="1" x14ac:dyDescent="0.2">
      <c r="A556" s="4" t="s">
        <v>292</v>
      </c>
      <c r="B556" s="25" t="s">
        <v>292</v>
      </c>
      <c r="C556" s="4" t="s">
        <v>292</v>
      </c>
      <c r="D556" s="4" t="s">
        <v>292</v>
      </c>
      <c r="E556" s="25" t="s">
        <v>292</v>
      </c>
      <c r="F556" s="4" t="s">
        <v>292</v>
      </c>
      <c r="G556" s="25" t="s">
        <v>292</v>
      </c>
      <c r="H556" s="25" t="s">
        <v>292</v>
      </c>
      <c r="I556" s="4"/>
      <c r="J556" s="4"/>
      <c r="K556" s="5"/>
    </row>
    <row r="557" spans="1:26" ht="12.75" customHeight="1" x14ac:dyDescent="0.2">
      <c r="A557" s="4" t="s">
        <v>292</v>
      </c>
      <c r="B557" s="25" t="s">
        <v>292</v>
      </c>
      <c r="C557" s="4" t="s">
        <v>292</v>
      </c>
      <c r="D557" s="4" t="s">
        <v>292</v>
      </c>
      <c r="E557" s="25" t="s">
        <v>292</v>
      </c>
      <c r="F557" s="4" t="s">
        <v>292</v>
      </c>
      <c r="G557" s="25" t="s">
        <v>292</v>
      </c>
      <c r="H557" s="25" t="s">
        <v>292</v>
      </c>
      <c r="I557" s="4"/>
      <c r="J557" s="4"/>
      <c r="K557" s="5"/>
    </row>
    <row r="558" spans="1:26" ht="12.75" customHeight="1" x14ac:dyDescent="0.2">
      <c r="A558" s="12" t="s">
        <v>28</v>
      </c>
      <c r="B558" s="12" t="s">
        <v>29</v>
      </c>
      <c r="C558" s="12" t="s">
        <v>30</v>
      </c>
      <c r="D558" s="12" t="s">
        <v>31</v>
      </c>
      <c r="E558" s="12" t="s">
        <v>32</v>
      </c>
      <c r="F558" s="12" t="s">
        <v>33</v>
      </c>
      <c r="G558" s="12" t="s">
        <v>34</v>
      </c>
      <c r="H558" s="12" t="s">
        <v>35</v>
      </c>
      <c r="I558" s="12" t="s">
        <v>36</v>
      </c>
      <c r="J558" s="12" t="s">
        <v>37</v>
      </c>
      <c r="K558" s="12" t="s">
        <v>38</v>
      </c>
      <c r="L558" s="13" t="s">
        <v>609</v>
      </c>
      <c r="M558" s="14" t="s">
        <v>40</v>
      </c>
      <c r="N558" s="15">
        <f>SUM(K559:K560)</f>
        <v>0</v>
      </c>
    </row>
    <row r="559" spans="1:26" ht="12.75" customHeight="1" x14ac:dyDescent="0.2">
      <c r="A559" s="4" t="s">
        <v>292</v>
      </c>
      <c r="B559" s="25" t="s">
        <v>292</v>
      </c>
      <c r="C559" s="4" t="s">
        <v>292</v>
      </c>
      <c r="D559" s="4" t="s">
        <v>292</v>
      </c>
      <c r="E559" s="25" t="s">
        <v>292</v>
      </c>
      <c r="F559" s="4" t="s">
        <v>292</v>
      </c>
      <c r="G559" s="25" t="s">
        <v>292</v>
      </c>
      <c r="H559" s="25" t="s">
        <v>292</v>
      </c>
      <c r="I559" s="4"/>
      <c r="J559" s="4"/>
      <c r="K559" s="5"/>
    </row>
    <row r="560" spans="1:26" ht="12.75" customHeight="1" x14ac:dyDescent="0.2">
      <c r="A560" s="4" t="s">
        <v>292</v>
      </c>
      <c r="B560" s="25" t="s">
        <v>292</v>
      </c>
      <c r="C560" s="4" t="s">
        <v>292</v>
      </c>
      <c r="D560" s="4" t="s">
        <v>292</v>
      </c>
      <c r="E560" s="25" t="s">
        <v>292</v>
      </c>
      <c r="F560" s="4" t="s">
        <v>292</v>
      </c>
      <c r="G560" s="25" t="s">
        <v>292</v>
      </c>
      <c r="H560" s="25" t="s">
        <v>292</v>
      </c>
      <c r="I560" s="4"/>
      <c r="J560" s="4"/>
      <c r="K560" s="5"/>
    </row>
    <row r="561" spans="1:14" ht="12.75" customHeight="1" x14ac:dyDescent="0.2">
      <c r="A561" s="12" t="s">
        <v>28</v>
      </c>
      <c r="B561" s="12" t="s">
        <v>29</v>
      </c>
      <c r="C561" s="12" t="s">
        <v>30</v>
      </c>
      <c r="D561" s="12" t="s">
        <v>31</v>
      </c>
      <c r="E561" s="12" t="s">
        <v>32</v>
      </c>
      <c r="F561" s="12" t="s">
        <v>33</v>
      </c>
      <c r="G561" s="12" t="s">
        <v>34</v>
      </c>
      <c r="H561" s="12" t="s">
        <v>35</v>
      </c>
      <c r="I561" s="12" t="s">
        <v>36</v>
      </c>
      <c r="J561" s="12" t="s">
        <v>37</v>
      </c>
      <c r="K561" s="12" t="s">
        <v>38</v>
      </c>
      <c r="L561" s="13" t="s">
        <v>610</v>
      </c>
      <c r="M561" s="14" t="s">
        <v>40</v>
      </c>
      <c r="N561" s="15">
        <f>SUM(K562:K563)</f>
        <v>0</v>
      </c>
    </row>
    <row r="562" spans="1:14" ht="12.75" customHeight="1" x14ac:dyDescent="0.2">
      <c r="A562" s="4" t="s">
        <v>292</v>
      </c>
      <c r="B562" s="25" t="s">
        <v>292</v>
      </c>
      <c r="C562" s="4" t="s">
        <v>292</v>
      </c>
      <c r="D562" s="4" t="s">
        <v>292</v>
      </c>
      <c r="E562" s="25" t="s">
        <v>292</v>
      </c>
      <c r="F562" s="4" t="s">
        <v>292</v>
      </c>
      <c r="G562" s="25" t="s">
        <v>292</v>
      </c>
      <c r="H562" s="25" t="s">
        <v>292</v>
      </c>
      <c r="I562" s="4"/>
      <c r="J562" s="4"/>
      <c r="K562" s="5"/>
    </row>
    <row r="563" spans="1:14" ht="12.75" customHeight="1" x14ac:dyDescent="0.2">
      <c r="A563" s="4" t="s">
        <v>292</v>
      </c>
      <c r="B563" s="25" t="s">
        <v>292</v>
      </c>
      <c r="C563" s="4" t="s">
        <v>292</v>
      </c>
      <c r="D563" s="4" t="s">
        <v>292</v>
      </c>
      <c r="E563" s="25" t="s">
        <v>292</v>
      </c>
      <c r="F563" s="4" t="s">
        <v>292</v>
      </c>
      <c r="G563" s="25" t="s">
        <v>292</v>
      </c>
      <c r="H563" s="25" t="s">
        <v>292</v>
      </c>
      <c r="I563" s="4"/>
      <c r="J563" s="4"/>
      <c r="K563" s="5"/>
    </row>
    <row r="564" spans="1:14" ht="12.75" customHeight="1" x14ac:dyDescent="0.2">
      <c r="A564" s="12" t="s">
        <v>28</v>
      </c>
      <c r="B564" s="12" t="s">
        <v>29</v>
      </c>
      <c r="C564" s="12" t="s">
        <v>30</v>
      </c>
      <c r="D564" s="12" t="s">
        <v>31</v>
      </c>
      <c r="E564" s="12" t="s">
        <v>32</v>
      </c>
      <c r="F564" s="12" t="s">
        <v>33</v>
      </c>
      <c r="G564" s="12" t="s">
        <v>34</v>
      </c>
      <c r="H564" s="12" t="s">
        <v>35</v>
      </c>
      <c r="I564" s="12" t="s">
        <v>36</v>
      </c>
      <c r="J564" s="12" t="s">
        <v>37</v>
      </c>
      <c r="K564" s="12" t="s">
        <v>38</v>
      </c>
      <c r="L564" s="13" t="s">
        <v>611</v>
      </c>
      <c r="M564" s="14" t="s">
        <v>40</v>
      </c>
      <c r="N564" s="15">
        <f>SUM(K565:K566)</f>
        <v>0</v>
      </c>
    </row>
    <row r="565" spans="1:14" ht="12.75" customHeight="1" x14ac:dyDescent="0.2">
      <c r="A565" s="4" t="s">
        <v>292</v>
      </c>
      <c r="B565" s="25" t="s">
        <v>292</v>
      </c>
      <c r="C565" s="4" t="s">
        <v>292</v>
      </c>
      <c r="D565" s="4" t="s">
        <v>292</v>
      </c>
      <c r="E565" s="25" t="s">
        <v>292</v>
      </c>
      <c r="F565" s="4" t="s">
        <v>292</v>
      </c>
      <c r="G565" s="25" t="s">
        <v>292</v>
      </c>
      <c r="H565" s="25" t="s">
        <v>292</v>
      </c>
      <c r="I565" s="4"/>
      <c r="J565" s="4"/>
      <c r="K565" s="5"/>
    </row>
    <row r="566" spans="1:14" ht="12.75" customHeight="1" x14ac:dyDescent="0.2">
      <c r="A566" s="4" t="s">
        <v>292</v>
      </c>
      <c r="B566" s="25" t="s">
        <v>292</v>
      </c>
      <c r="C566" s="4" t="s">
        <v>292</v>
      </c>
      <c r="D566" s="4" t="s">
        <v>292</v>
      </c>
      <c r="E566" s="25" t="s">
        <v>292</v>
      </c>
      <c r="F566" s="4" t="s">
        <v>292</v>
      </c>
      <c r="G566" s="25" t="s">
        <v>292</v>
      </c>
      <c r="H566" s="25" t="s">
        <v>292</v>
      </c>
      <c r="I566" s="4"/>
      <c r="J566" s="4"/>
      <c r="K566" s="5"/>
    </row>
    <row r="567" spans="1:14" ht="12.75" customHeight="1" x14ac:dyDescent="0.2">
      <c r="A567" s="12" t="s">
        <v>28</v>
      </c>
      <c r="B567" s="12" t="s">
        <v>29</v>
      </c>
      <c r="C567" s="12" t="s">
        <v>30</v>
      </c>
      <c r="D567" s="12" t="s">
        <v>31</v>
      </c>
      <c r="E567" s="12" t="s">
        <v>32</v>
      </c>
      <c r="F567" s="12" t="s">
        <v>33</v>
      </c>
      <c r="G567" s="12" t="s">
        <v>34</v>
      </c>
      <c r="H567" s="12" t="s">
        <v>35</v>
      </c>
      <c r="I567" s="12" t="s">
        <v>36</v>
      </c>
      <c r="J567" s="12" t="s">
        <v>37</v>
      </c>
      <c r="K567" s="12" t="s">
        <v>38</v>
      </c>
      <c r="L567" s="13" t="s">
        <v>612</v>
      </c>
      <c r="M567" s="14" t="s">
        <v>40</v>
      </c>
      <c r="N567" s="15">
        <f>SUM(K568:K569)</f>
        <v>0</v>
      </c>
    </row>
    <row r="568" spans="1:14" ht="12.75" customHeight="1" x14ac:dyDescent="0.2">
      <c r="A568" s="4" t="s">
        <v>292</v>
      </c>
      <c r="B568" s="25" t="s">
        <v>292</v>
      </c>
      <c r="C568" s="4" t="s">
        <v>292</v>
      </c>
      <c r="D568" s="4" t="s">
        <v>292</v>
      </c>
      <c r="E568" s="25" t="s">
        <v>292</v>
      </c>
      <c r="F568" s="4" t="s">
        <v>292</v>
      </c>
      <c r="G568" s="25" t="s">
        <v>292</v>
      </c>
      <c r="H568" s="25" t="s">
        <v>292</v>
      </c>
      <c r="I568" s="4"/>
      <c r="J568" s="4"/>
      <c r="K568" s="5"/>
    </row>
    <row r="569" spans="1:14" ht="12.75" customHeight="1" x14ac:dyDescent="0.2">
      <c r="A569" s="29" t="s">
        <v>292</v>
      </c>
      <c r="B569" s="30" t="s">
        <v>292</v>
      </c>
      <c r="C569" s="29" t="s">
        <v>292</v>
      </c>
      <c r="D569" s="30" t="s">
        <v>292</v>
      </c>
      <c r="E569" s="30" t="s">
        <v>292</v>
      </c>
      <c r="F569" s="30" t="s">
        <v>292</v>
      </c>
      <c r="G569" s="30" t="s">
        <v>292</v>
      </c>
      <c r="H569" s="30" t="s">
        <v>292</v>
      </c>
      <c r="I569" s="30" t="s">
        <v>292</v>
      </c>
      <c r="J569" s="30" t="s">
        <v>292</v>
      </c>
      <c r="K569" s="30" t="s">
        <v>292</v>
      </c>
    </row>
    <row r="570" spans="1:14" ht="12.75" customHeight="1" x14ac:dyDescent="0.2">
      <c r="A570" s="1"/>
      <c r="C570" s="1"/>
    </row>
    <row r="571" spans="1:14" ht="12.75" customHeight="1" x14ac:dyDescent="0.2">
      <c r="A571" s="1"/>
      <c r="C571" s="1"/>
    </row>
    <row r="572" spans="1:14" ht="12.75" customHeight="1" x14ac:dyDescent="0.2">
      <c r="A572" s="1"/>
      <c r="C572" s="1"/>
      <c r="L572" s="13" t="s">
        <v>613</v>
      </c>
      <c r="M572" s="14" t="s">
        <v>40</v>
      </c>
      <c r="N572" s="15">
        <f>SUM(N1:N570)</f>
        <v>100</v>
      </c>
    </row>
    <row r="573" spans="1:14" ht="12.75" customHeight="1" x14ac:dyDescent="0.2">
      <c r="A573" s="1"/>
      <c r="C573" s="1"/>
    </row>
    <row r="574" spans="1:14" ht="12.75" customHeight="1" x14ac:dyDescent="0.2">
      <c r="A574" s="1"/>
      <c r="C574" s="1"/>
    </row>
    <row r="575" spans="1:14" ht="12.75" customHeight="1" x14ac:dyDescent="0.2">
      <c r="A575" s="1"/>
      <c r="C575" s="1"/>
    </row>
    <row r="576" spans="1:14" ht="12.75" customHeight="1" x14ac:dyDescent="0.2">
      <c r="A576" s="1"/>
      <c r="C576" s="1"/>
    </row>
    <row r="577" spans="1:3" ht="12.75" customHeight="1" x14ac:dyDescent="0.2">
      <c r="A577" s="1"/>
      <c r="C577" s="1"/>
    </row>
    <row r="578" spans="1:3" ht="12.75" customHeight="1" x14ac:dyDescent="0.2">
      <c r="A578" s="1"/>
      <c r="C578" s="1"/>
    </row>
    <row r="579" spans="1:3" ht="12.75" customHeight="1" x14ac:dyDescent="0.2">
      <c r="A579" s="1"/>
      <c r="C579" s="1"/>
    </row>
    <row r="580" spans="1:3" ht="12.75" customHeight="1" x14ac:dyDescent="0.2">
      <c r="A580" s="1"/>
      <c r="C580" s="1"/>
    </row>
    <row r="581" spans="1:3" ht="12.75" customHeight="1" x14ac:dyDescent="0.2">
      <c r="A581" s="1"/>
      <c r="C581" s="1"/>
    </row>
    <row r="582" spans="1:3" ht="12.75" customHeight="1" x14ac:dyDescent="0.2">
      <c r="A582" s="1"/>
      <c r="C582" s="1"/>
    </row>
    <row r="583" spans="1:3" ht="12.75" customHeight="1" x14ac:dyDescent="0.2">
      <c r="A583" s="1"/>
      <c r="C583" s="1"/>
    </row>
    <row r="584" spans="1:3" ht="12.75" customHeight="1" x14ac:dyDescent="0.2">
      <c r="A584" s="1"/>
      <c r="C584" s="1"/>
    </row>
    <row r="585" spans="1:3" ht="12.75" customHeight="1" x14ac:dyDescent="0.2">
      <c r="A585" s="1"/>
      <c r="C585" s="1"/>
    </row>
    <row r="586" spans="1:3" ht="12.75" customHeight="1" x14ac:dyDescent="0.2">
      <c r="A586" s="1"/>
      <c r="C586" s="1"/>
    </row>
    <row r="587" spans="1:3" ht="12.75" customHeight="1" x14ac:dyDescent="0.2">
      <c r="A587" s="1"/>
      <c r="C587" s="1"/>
    </row>
    <row r="588" spans="1:3" ht="12.75" customHeight="1" x14ac:dyDescent="0.2">
      <c r="A588" s="1"/>
      <c r="C588" s="1"/>
    </row>
    <row r="589" spans="1:3" ht="12.75" customHeight="1" x14ac:dyDescent="0.2">
      <c r="A589" s="1"/>
      <c r="C589" s="1"/>
    </row>
    <row r="590" spans="1:3" ht="12.75" customHeight="1" x14ac:dyDescent="0.2">
      <c r="A590" s="1"/>
      <c r="C590" s="1"/>
    </row>
    <row r="591" spans="1:3" ht="12.75" customHeight="1" x14ac:dyDescent="0.2">
      <c r="A591" s="1"/>
      <c r="C591" s="1"/>
    </row>
    <row r="592" spans="1:3" ht="12.75" customHeight="1" x14ac:dyDescent="0.2">
      <c r="A592" s="1"/>
      <c r="C592" s="1"/>
    </row>
    <row r="593" spans="1:3" ht="12.75" customHeight="1" x14ac:dyDescent="0.2">
      <c r="A593" s="1"/>
      <c r="C593" s="1"/>
    </row>
    <row r="594" spans="1:3" ht="12.75" customHeight="1" x14ac:dyDescent="0.2">
      <c r="A594" s="1"/>
      <c r="C594" s="1"/>
    </row>
    <row r="595" spans="1:3" ht="12.75" customHeight="1" x14ac:dyDescent="0.2">
      <c r="A595" s="1"/>
      <c r="C595" s="1"/>
    </row>
    <row r="596" spans="1:3" ht="12.75" customHeight="1" x14ac:dyDescent="0.2">
      <c r="A596" s="1"/>
      <c r="C596" s="1"/>
    </row>
    <row r="597" spans="1:3" ht="12.75" customHeight="1" x14ac:dyDescent="0.2">
      <c r="A597" s="1"/>
      <c r="C597" s="1"/>
    </row>
    <row r="598" spans="1:3" ht="12.75" customHeight="1" x14ac:dyDescent="0.2">
      <c r="A598" s="1"/>
      <c r="C598" s="1"/>
    </row>
    <row r="599" spans="1:3" ht="12.75" customHeight="1" x14ac:dyDescent="0.2">
      <c r="A599" s="1"/>
      <c r="C599" s="1"/>
    </row>
    <row r="600" spans="1:3" ht="12.75" customHeight="1" x14ac:dyDescent="0.2">
      <c r="A600" s="1"/>
      <c r="C600" s="1"/>
    </row>
    <row r="601" spans="1:3" ht="12.75" customHeight="1" x14ac:dyDescent="0.2">
      <c r="A601" s="1"/>
      <c r="C601" s="1"/>
    </row>
    <row r="602" spans="1:3" ht="12.75" customHeight="1" x14ac:dyDescent="0.2">
      <c r="A602" s="1"/>
      <c r="C602" s="1"/>
    </row>
    <row r="603" spans="1:3" ht="12.75" customHeight="1" x14ac:dyDescent="0.2">
      <c r="A603" s="1"/>
      <c r="C603" s="1"/>
    </row>
    <row r="604" spans="1:3" ht="12.75" customHeight="1" x14ac:dyDescent="0.2">
      <c r="A604" s="1"/>
      <c r="C604" s="1"/>
    </row>
    <row r="605" spans="1:3" ht="12.75" customHeight="1" x14ac:dyDescent="0.2">
      <c r="A605" s="1"/>
      <c r="C605" s="1"/>
    </row>
    <row r="606" spans="1:3" ht="12.75" customHeight="1" x14ac:dyDescent="0.2">
      <c r="A606" s="1"/>
      <c r="C606" s="1"/>
    </row>
    <row r="607" spans="1:3" ht="12.75" customHeight="1" x14ac:dyDescent="0.2">
      <c r="A607" s="1"/>
      <c r="C607" s="1"/>
    </row>
    <row r="608" spans="1:3" ht="12.75" customHeight="1" x14ac:dyDescent="0.2">
      <c r="A608" s="1"/>
      <c r="C608" s="1"/>
    </row>
    <row r="609" spans="1:3" ht="12.75" customHeight="1" x14ac:dyDescent="0.2">
      <c r="A609" s="1"/>
      <c r="C609" s="1"/>
    </row>
    <row r="610" spans="1:3" ht="12.75" customHeight="1" x14ac:dyDescent="0.2">
      <c r="A610" s="1"/>
      <c r="C610" s="1"/>
    </row>
    <row r="611" spans="1:3" ht="12.75" customHeight="1" x14ac:dyDescent="0.2">
      <c r="A611" s="1"/>
      <c r="C611" s="1"/>
    </row>
    <row r="612" spans="1:3" ht="12.75" customHeight="1" x14ac:dyDescent="0.2">
      <c r="A612" s="1"/>
      <c r="C612" s="1"/>
    </row>
    <row r="613" spans="1:3" ht="12.75" customHeight="1" x14ac:dyDescent="0.2">
      <c r="A613" s="1"/>
      <c r="C613" s="1"/>
    </row>
    <row r="614" spans="1:3" ht="12.75" customHeight="1" x14ac:dyDescent="0.2">
      <c r="A614" s="1"/>
      <c r="C614" s="1"/>
    </row>
    <row r="615" spans="1:3" ht="12.75" customHeight="1" x14ac:dyDescent="0.2">
      <c r="A615" s="1"/>
      <c r="C615" s="1"/>
    </row>
    <row r="616" spans="1:3" ht="12.75" customHeight="1" x14ac:dyDescent="0.2">
      <c r="A616" s="1"/>
      <c r="C616" s="1"/>
    </row>
    <row r="617" spans="1:3" ht="12.75" customHeight="1" x14ac:dyDescent="0.2">
      <c r="A617" s="1"/>
      <c r="C617" s="1"/>
    </row>
    <row r="618" spans="1:3" ht="12.75" customHeight="1" x14ac:dyDescent="0.2">
      <c r="A618" s="1"/>
      <c r="C618" s="1"/>
    </row>
    <row r="619" spans="1:3" ht="12.75" customHeight="1" x14ac:dyDescent="0.2">
      <c r="A619" s="1"/>
      <c r="C619" s="1"/>
    </row>
    <row r="620" spans="1:3" ht="12.75" customHeight="1" x14ac:dyDescent="0.2">
      <c r="A620" s="1"/>
      <c r="C620" s="1"/>
    </row>
    <row r="621" spans="1:3" ht="12.75" customHeight="1" x14ac:dyDescent="0.2">
      <c r="A621" s="1"/>
      <c r="C621" s="1"/>
    </row>
    <row r="622" spans="1:3" ht="12.75" customHeight="1" x14ac:dyDescent="0.2">
      <c r="A622" s="1"/>
      <c r="C622" s="1"/>
    </row>
    <row r="623" spans="1:3" ht="12.75" customHeight="1" x14ac:dyDescent="0.2">
      <c r="A623" s="1"/>
      <c r="C623" s="1"/>
    </row>
    <row r="624" spans="1:3" ht="12.75" customHeight="1" x14ac:dyDescent="0.2">
      <c r="A624" s="1"/>
      <c r="C624" s="1"/>
    </row>
    <row r="625" spans="1:3" ht="12.75" customHeight="1" x14ac:dyDescent="0.2">
      <c r="A625" s="1"/>
      <c r="C625" s="1"/>
    </row>
    <row r="626" spans="1:3" ht="12.75" customHeight="1" x14ac:dyDescent="0.2">
      <c r="A626" s="1"/>
      <c r="C626" s="1"/>
    </row>
    <row r="627" spans="1:3" ht="12.75" customHeight="1" x14ac:dyDescent="0.2">
      <c r="A627" s="1"/>
      <c r="C627" s="1"/>
    </row>
    <row r="628" spans="1:3" ht="12.75" customHeight="1" x14ac:dyDescent="0.2">
      <c r="A628" s="1"/>
      <c r="C628" s="1"/>
    </row>
    <row r="629" spans="1:3" ht="12.75" customHeight="1" x14ac:dyDescent="0.2">
      <c r="A629" s="1"/>
      <c r="C629" s="1"/>
    </row>
    <row r="630" spans="1:3" ht="12.75" customHeight="1" x14ac:dyDescent="0.2">
      <c r="A630" s="1"/>
      <c r="C630" s="1"/>
    </row>
    <row r="631" spans="1:3" ht="12.75" customHeight="1" x14ac:dyDescent="0.2">
      <c r="A631" s="1"/>
      <c r="C631" s="1"/>
    </row>
    <row r="632" spans="1:3" ht="12.75" customHeight="1" x14ac:dyDescent="0.2">
      <c r="A632" s="1"/>
      <c r="C632" s="1"/>
    </row>
    <row r="633" spans="1:3" ht="12.75" customHeight="1" x14ac:dyDescent="0.2">
      <c r="A633" s="1"/>
      <c r="C633" s="1"/>
    </row>
    <row r="634" spans="1:3" ht="12.75" customHeight="1" x14ac:dyDescent="0.2">
      <c r="A634" s="1"/>
      <c r="C634" s="1"/>
    </row>
    <row r="635" spans="1:3" ht="12.75" customHeight="1" x14ac:dyDescent="0.2">
      <c r="A635" s="1"/>
      <c r="C635" s="1"/>
    </row>
    <row r="636" spans="1:3" ht="12.75" customHeight="1" x14ac:dyDescent="0.2">
      <c r="A636" s="1"/>
      <c r="C636" s="1"/>
    </row>
    <row r="637" spans="1:3" ht="12.75" customHeight="1" x14ac:dyDescent="0.2">
      <c r="A637" s="1"/>
      <c r="C637" s="1"/>
    </row>
    <row r="638" spans="1:3" ht="12.75" customHeight="1" x14ac:dyDescent="0.2">
      <c r="A638" s="1"/>
      <c r="C638" s="1"/>
    </row>
    <row r="639" spans="1:3" ht="12.75" customHeight="1" x14ac:dyDescent="0.2">
      <c r="A639" s="1"/>
      <c r="C639" s="1"/>
    </row>
    <row r="640" spans="1:3" ht="12.75" customHeight="1" x14ac:dyDescent="0.2">
      <c r="A640" s="1"/>
      <c r="C640" s="1"/>
    </row>
    <row r="641" spans="1:3" ht="12.75" customHeight="1" x14ac:dyDescent="0.2">
      <c r="A641" s="1"/>
      <c r="C641" s="1"/>
    </row>
    <row r="642" spans="1:3" ht="12.75" customHeight="1" x14ac:dyDescent="0.2">
      <c r="A642" s="1"/>
      <c r="C642" s="1"/>
    </row>
    <row r="643" spans="1:3" ht="12.75" customHeight="1" x14ac:dyDescent="0.2">
      <c r="A643" s="1"/>
      <c r="C643" s="1"/>
    </row>
    <row r="644" spans="1:3" ht="12.75" customHeight="1" x14ac:dyDescent="0.2">
      <c r="A644" s="1"/>
      <c r="C644" s="1"/>
    </row>
    <row r="645" spans="1:3" ht="12.75" customHeight="1" x14ac:dyDescent="0.2">
      <c r="A645" s="1"/>
      <c r="C645" s="1"/>
    </row>
    <row r="646" spans="1:3" ht="12.75" customHeight="1" x14ac:dyDescent="0.2">
      <c r="A646" s="1"/>
      <c r="C646" s="1"/>
    </row>
    <row r="647" spans="1:3" ht="12.75" customHeight="1" x14ac:dyDescent="0.2">
      <c r="A647" s="1"/>
      <c r="C647" s="1"/>
    </row>
    <row r="648" spans="1:3" ht="12.75" customHeight="1" x14ac:dyDescent="0.2">
      <c r="A648" s="1"/>
      <c r="C648" s="1"/>
    </row>
    <row r="649" spans="1:3" ht="12.75" customHeight="1" x14ac:dyDescent="0.2">
      <c r="A649" s="1"/>
      <c r="C649" s="1"/>
    </row>
    <row r="650" spans="1:3" ht="12.75" customHeight="1" x14ac:dyDescent="0.2">
      <c r="A650" s="1"/>
      <c r="C650" s="1"/>
    </row>
    <row r="651" spans="1:3" ht="12.75" customHeight="1" x14ac:dyDescent="0.2">
      <c r="A651" s="1"/>
      <c r="C651" s="1"/>
    </row>
    <row r="652" spans="1:3" ht="12.75" customHeight="1" x14ac:dyDescent="0.2">
      <c r="A652" s="1"/>
      <c r="C652" s="1"/>
    </row>
    <row r="653" spans="1:3" ht="12.75" customHeight="1" x14ac:dyDescent="0.2">
      <c r="A653" s="1"/>
      <c r="C653" s="1"/>
    </row>
    <row r="654" spans="1:3" ht="12.75" customHeight="1" x14ac:dyDescent="0.2">
      <c r="A654" s="1"/>
      <c r="C654" s="1"/>
    </row>
    <row r="655" spans="1:3" ht="12.75" customHeight="1" x14ac:dyDescent="0.2">
      <c r="A655" s="1"/>
      <c r="C655" s="1"/>
    </row>
    <row r="656" spans="1:3" ht="12.75" customHeight="1" x14ac:dyDescent="0.2">
      <c r="A656" s="1"/>
      <c r="C656" s="1"/>
    </row>
    <row r="657" spans="1:3" ht="12.75" customHeight="1" x14ac:dyDescent="0.2">
      <c r="A657" s="1"/>
      <c r="C657" s="1"/>
    </row>
    <row r="658" spans="1:3" ht="12.75" customHeight="1" x14ac:dyDescent="0.2">
      <c r="A658" s="1"/>
      <c r="C658" s="1"/>
    </row>
    <row r="659" spans="1:3" ht="12.75" customHeight="1" x14ac:dyDescent="0.2">
      <c r="A659" s="1"/>
      <c r="C659" s="1"/>
    </row>
    <row r="660" spans="1:3" ht="12.75" customHeight="1" x14ac:dyDescent="0.2">
      <c r="A660" s="1"/>
      <c r="C660" s="1"/>
    </row>
    <row r="661" spans="1:3" ht="12.75" customHeight="1" x14ac:dyDescent="0.2">
      <c r="A661" s="1"/>
      <c r="C661" s="1"/>
    </row>
    <row r="662" spans="1:3" ht="12.75" customHeight="1" x14ac:dyDescent="0.2">
      <c r="A662" s="1"/>
      <c r="C662" s="1"/>
    </row>
    <row r="663" spans="1:3" ht="12.75" customHeight="1" x14ac:dyDescent="0.2">
      <c r="A663" s="1"/>
      <c r="C663" s="1"/>
    </row>
    <row r="664" spans="1:3" ht="12.75" customHeight="1" x14ac:dyDescent="0.2">
      <c r="A664" s="1"/>
      <c r="C664" s="1"/>
    </row>
    <row r="665" spans="1:3" ht="12.75" customHeight="1" x14ac:dyDescent="0.2">
      <c r="A665" s="1"/>
      <c r="C665" s="1"/>
    </row>
    <row r="666" spans="1:3" ht="12.75" customHeight="1" x14ac:dyDescent="0.2">
      <c r="A666" s="1"/>
      <c r="C666" s="1"/>
    </row>
    <row r="667" spans="1:3" ht="12.75" customHeight="1" x14ac:dyDescent="0.2">
      <c r="A667" s="1"/>
      <c r="C667" s="1"/>
    </row>
    <row r="668" spans="1:3" ht="12.75" customHeight="1" x14ac:dyDescent="0.2">
      <c r="A668" s="1"/>
      <c r="C668" s="1"/>
    </row>
    <row r="669" spans="1:3" ht="12.75" customHeight="1" x14ac:dyDescent="0.2">
      <c r="A669" s="1"/>
      <c r="C669" s="1"/>
    </row>
    <row r="670" spans="1:3" ht="12.75" customHeight="1" x14ac:dyDescent="0.2">
      <c r="A670" s="1"/>
      <c r="C670" s="1"/>
    </row>
    <row r="671" spans="1:3" ht="12.75" customHeight="1" x14ac:dyDescent="0.2">
      <c r="A671" s="1"/>
      <c r="C671" s="1"/>
    </row>
    <row r="672" spans="1:3" ht="12.75" customHeight="1" x14ac:dyDescent="0.2">
      <c r="A672" s="1"/>
      <c r="C672" s="1"/>
    </row>
    <row r="673" spans="1:3" ht="12.75" customHeight="1" x14ac:dyDescent="0.2">
      <c r="A673" s="1"/>
      <c r="C673" s="1"/>
    </row>
    <row r="674" spans="1:3" ht="12.75" customHeight="1" x14ac:dyDescent="0.2">
      <c r="A674" s="1"/>
      <c r="C674" s="1"/>
    </row>
    <row r="675" spans="1:3" ht="12.75" customHeight="1" x14ac:dyDescent="0.2">
      <c r="A675" s="1"/>
      <c r="C675" s="1"/>
    </row>
    <row r="676" spans="1:3" ht="12.75" customHeight="1" x14ac:dyDescent="0.2">
      <c r="A676" s="1"/>
      <c r="C676" s="1"/>
    </row>
    <row r="677" spans="1:3" ht="12.75" customHeight="1" x14ac:dyDescent="0.2">
      <c r="A677" s="1"/>
      <c r="C677" s="1"/>
    </row>
    <row r="678" spans="1:3" ht="12.75" customHeight="1" x14ac:dyDescent="0.2">
      <c r="A678" s="1"/>
      <c r="C678" s="1"/>
    </row>
    <row r="679" spans="1:3" ht="12.75" customHeight="1" x14ac:dyDescent="0.2">
      <c r="A679" s="1"/>
      <c r="C679" s="1"/>
    </row>
    <row r="680" spans="1:3" ht="12.75" customHeight="1" x14ac:dyDescent="0.2">
      <c r="A680" s="1"/>
      <c r="C680" s="1"/>
    </row>
    <row r="681" spans="1:3" ht="12.75" customHeight="1" x14ac:dyDescent="0.2">
      <c r="A681" s="1"/>
      <c r="C681" s="1"/>
    </row>
    <row r="682" spans="1:3" ht="12.75" customHeight="1" x14ac:dyDescent="0.2">
      <c r="A682" s="1"/>
      <c r="C682" s="1"/>
    </row>
    <row r="683" spans="1:3" ht="12.75" customHeight="1" x14ac:dyDescent="0.2">
      <c r="A683" s="1"/>
      <c r="C683" s="1"/>
    </row>
    <row r="684" spans="1:3" ht="12.75" customHeight="1" x14ac:dyDescent="0.2">
      <c r="A684" s="1"/>
      <c r="C684" s="1"/>
    </row>
    <row r="685" spans="1:3" ht="12.75" customHeight="1" x14ac:dyDescent="0.2">
      <c r="A685" s="1"/>
      <c r="C685" s="1"/>
    </row>
    <row r="686" spans="1:3" ht="12.75" customHeight="1" x14ac:dyDescent="0.2">
      <c r="A686" s="1"/>
      <c r="C686" s="1"/>
    </row>
    <row r="687" spans="1:3" ht="12.75" customHeight="1" x14ac:dyDescent="0.2">
      <c r="A687" s="1"/>
      <c r="C687" s="1"/>
    </row>
    <row r="688" spans="1:3" ht="12.75" customHeight="1" x14ac:dyDescent="0.2">
      <c r="A688" s="1"/>
      <c r="C688" s="1"/>
    </row>
    <row r="689" spans="1:3" ht="12.75" customHeight="1" x14ac:dyDescent="0.2">
      <c r="A689" s="1"/>
      <c r="C689" s="1"/>
    </row>
    <row r="690" spans="1:3" ht="12.75" customHeight="1" x14ac:dyDescent="0.2">
      <c r="A690" s="1"/>
      <c r="C690" s="1"/>
    </row>
    <row r="691" spans="1:3" ht="12.75" customHeight="1" x14ac:dyDescent="0.2">
      <c r="A691" s="1"/>
      <c r="C691" s="1"/>
    </row>
    <row r="692" spans="1:3" ht="12.75" customHeight="1" x14ac:dyDescent="0.2">
      <c r="A692" s="1"/>
      <c r="C692" s="1"/>
    </row>
    <row r="693" spans="1:3" ht="12.75" customHeight="1" x14ac:dyDescent="0.2">
      <c r="A693" s="1"/>
      <c r="C693" s="1"/>
    </row>
    <row r="694" spans="1:3" ht="12.75" customHeight="1" x14ac:dyDescent="0.2">
      <c r="A694" s="1"/>
      <c r="C694" s="1"/>
    </row>
    <row r="695" spans="1:3" ht="12.75" customHeight="1" x14ac:dyDescent="0.2">
      <c r="A695" s="1"/>
      <c r="C695" s="1"/>
    </row>
    <row r="696" spans="1:3" ht="12.75" customHeight="1" x14ac:dyDescent="0.2">
      <c r="A696" s="1"/>
      <c r="C696" s="1"/>
    </row>
    <row r="697" spans="1:3" ht="12.75" customHeight="1" x14ac:dyDescent="0.2">
      <c r="A697" s="1"/>
      <c r="C697" s="1"/>
    </row>
    <row r="698" spans="1:3" ht="12.75" customHeight="1" x14ac:dyDescent="0.2">
      <c r="A698" s="1"/>
      <c r="C698" s="1"/>
    </row>
    <row r="699" spans="1:3" ht="12.75" customHeight="1" x14ac:dyDescent="0.2">
      <c r="A699" s="1"/>
      <c r="C699" s="1"/>
    </row>
    <row r="700" spans="1:3" ht="12.75" customHeight="1" x14ac:dyDescent="0.2">
      <c r="A700" s="1"/>
      <c r="C700" s="1"/>
    </row>
    <row r="701" spans="1:3" ht="12.75" customHeight="1" x14ac:dyDescent="0.2">
      <c r="A701" s="1"/>
      <c r="C701" s="1"/>
    </row>
    <row r="702" spans="1:3" ht="12.75" customHeight="1" x14ac:dyDescent="0.2">
      <c r="A702" s="1"/>
      <c r="C702" s="1"/>
    </row>
    <row r="703" spans="1:3" ht="12.75" customHeight="1" x14ac:dyDescent="0.2">
      <c r="A703" s="1"/>
      <c r="C703" s="1"/>
    </row>
    <row r="704" spans="1:3" ht="12.75" customHeight="1" x14ac:dyDescent="0.2">
      <c r="A704" s="1"/>
      <c r="C704" s="1"/>
    </row>
    <row r="705" spans="1:3" ht="12.75" customHeight="1" x14ac:dyDescent="0.2">
      <c r="A705" s="1"/>
      <c r="C705" s="1"/>
    </row>
    <row r="706" spans="1:3" ht="12.75" customHeight="1" x14ac:dyDescent="0.2">
      <c r="A706" s="1"/>
      <c r="C706" s="1"/>
    </row>
    <row r="707" spans="1:3" ht="12.75" customHeight="1" x14ac:dyDescent="0.2">
      <c r="A707" s="1"/>
      <c r="C707" s="1"/>
    </row>
    <row r="708" spans="1:3" ht="12.75" customHeight="1" x14ac:dyDescent="0.2">
      <c r="A708" s="1"/>
      <c r="C708" s="1"/>
    </row>
    <row r="709" spans="1:3" ht="12.75" customHeight="1" x14ac:dyDescent="0.2">
      <c r="A709" s="1"/>
      <c r="C709" s="1"/>
    </row>
    <row r="710" spans="1:3" ht="12.75" customHeight="1" x14ac:dyDescent="0.2">
      <c r="A710" s="1"/>
      <c r="C710" s="1"/>
    </row>
    <row r="711" spans="1:3" ht="12.75" customHeight="1" x14ac:dyDescent="0.2">
      <c r="A711" s="1"/>
      <c r="C711" s="1"/>
    </row>
    <row r="712" spans="1:3" ht="12.75" customHeight="1" x14ac:dyDescent="0.2">
      <c r="A712" s="1"/>
      <c r="C712" s="1"/>
    </row>
    <row r="713" spans="1:3" ht="12.75" customHeight="1" x14ac:dyDescent="0.2">
      <c r="A713" s="1"/>
      <c r="C713" s="1"/>
    </row>
    <row r="714" spans="1:3" ht="12.75" customHeight="1" x14ac:dyDescent="0.2">
      <c r="A714" s="1"/>
      <c r="C714" s="1"/>
    </row>
    <row r="715" spans="1:3" ht="12.75" customHeight="1" x14ac:dyDescent="0.2">
      <c r="A715" s="1"/>
      <c r="C715" s="1"/>
    </row>
    <row r="716" spans="1:3" ht="12.75" customHeight="1" x14ac:dyDescent="0.2">
      <c r="A716" s="1"/>
      <c r="C716" s="1"/>
    </row>
    <row r="717" spans="1:3" ht="12.75" customHeight="1" x14ac:dyDescent="0.2">
      <c r="A717" s="1"/>
      <c r="C717" s="1"/>
    </row>
    <row r="718" spans="1:3" ht="12.75" customHeight="1" x14ac:dyDescent="0.2">
      <c r="A718" s="1"/>
      <c r="C718" s="1"/>
    </row>
    <row r="719" spans="1:3" ht="12.75" customHeight="1" x14ac:dyDescent="0.2">
      <c r="A719" s="1"/>
      <c r="C719" s="1"/>
    </row>
    <row r="720" spans="1:3" ht="12.75" customHeight="1" x14ac:dyDescent="0.2">
      <c r="A720" s="1"/>
      <c r="C720" s="1"/>
    </row>
    <row r="721" spans="1:3" ht="12.75" customHeight="1" x14ac:dyDescent="0.2">
      <c r="A721" s="1"/>
      <c r="C721" s="1"/>
    </row>
    <row r="722" spans="1:3" ht="12.75" customHeight="1" x14ac:dyDescent="0.2">
      <c r="A722" s="1"/>
      <c r="C722" s="1"/>
    </row>
    <row r="723" spans="1:3" ht="12.75" customHeight="1" x14ac:dyDescent="0.2">
      <c r="A723" s="1"/>
      <c r="C723" s="1"/>
    </row>
    <row r="724" spans="1:3" ht="12.75" customHeight="1" x14ac:dyDescent="0.2">
      <c r="A724" s="1"/>
      <c r="C724" s="1"/>
    </row>
    <row r="725" spans="1:3" ht="12.75" customHeight="1" x14ac:dyDescent="0.2">
      <c r="A725" s="1"/>
      <c r="C725" s="1"/>
    </row>
    <row r="726" spans="1:3" ht="12.75" customHeight="1" x14ac:dyDescent="0.2">
      <c r="A726" s="1"/>
      <c r="C726" s="1"/>
    </row>
    <row r="727" spans="1:3" ht="12.75" customHeight="1" x14ac:dyDescent="0.2">
      <c r="A727" s="1"/>
      <c r="C727" s="1"/>
    </row>
    <row r="728" spans="1:3" ht="12.75" customHeight="1" x14ac:dyDescent="0.2">
      <c r="A728" s="1"/>
      <c r="C728" s="1"/>
    </row>
    <row r="729" spans="1:3" ht="12.75" customHeight="1" x14ac:dyDescent="0.2">
      <c r="A729" s="1"/>
      <c r="C729" s="1"/>
    </row>
    <row r="730" spans="1:3" ht="12.75" customHeight="1" x14ac:dyDescent="0.2">
      <c r="A730" s="1"/>
      <c r="C730" s="1"/>
    </row>
    <row r="731" spans="1:3" ht="12.75" customHeight="1" x14ac:dyDescent="0.2">
      <c r="A731" s="1"/>
      <c r="C731" s="1"/>
    </row>
    <row r="732" spans="1:3" ht="12.75" customHeight="1" x14ac:dyDescent="0.2">
      <c r="A732" s="1"/>
      <c r="C732" s="1"/>
    </row>
    <row r="733" spans="1:3" ht="12.75" customHeight="1" x14ac:dyDescent="0.2">
      <c r="A733" s="1"/>
      <c r="C733" s="1"/>
    </row>
    <row r="734" spans="1:3" ht="12.75" customHeight="1" x14ac:dyDescent="0.2">
      <c r="A734" s="1"/>
      <c r="C734" s="1"/>
    </row>
    <row r="735" spans="1:3" ht="12.75" customHeight="1" x14ac:dyDescent="0.2">
      <c r="A735" s="1"/>
      <c r="C735" s="1"/>
    </row>
    <row r="736" spans="1:3" ht="12.75" customHeight="1" x14ac:dyDescent="0.2">
      <c r="A736" s="1"/>
      <c r="C736" s="1"/>
    </row>
    <row r="737" spans="1:3" ht="12.75" customHeight="1" x14ac:dyDescent="0.2">
      <c r="A737" s="1"/>
      <c r="C737" s="1"/>
    </row>
    <row r="738" spans="1:3" ht="12.75" customHeight="1" x14ac:dyDescent="0.2">
      <c r="A738" s="1"/>
      <c r="C738" s="1"/>
    </row>
    <row r="739" spans="1:3" ht="12.75" customHeight="1" x14ac:dyDescent="0.2">
      <c r="A739" s="1"/>
      <c r="C739" s="1"/>
    </row>
    <row r="740" spans="1:3" ht="12.75" customHeight="1" x14ac:dyDescent="0.2">
      <c r="A740" s="1"/>
      <c r="C740" s="1"/>
    </row>
    <row r="741" spans="1:3" ht="12.75" customHeight="1" x14ac:dyDescent="0.2">
      <c r="A741" s="1"/>
      <c r="C741" s="1"/>
    </row>
    <row r="742" spans="1:3" ht="12.75" customHeight="1" x14ac:dyDescent="0.2">
      <c r="A742" s="1"/>
      <c r="C742" s="1"/>
    </row>
    <row r="743" spans="1:3" ht="12.75" customHeight="1" x14ac:dyDescent="0.2">
      <c r="A743" s="1"/>
      <c r="C743" s="1"/>
    </row>
    <row r="744" spans="1:3" ht="12.75" customHeight="1" x14ac:dyDescent="0.2">
      <c r="A744" s="1"/>
      <c r="C744" s="1"/>
    </row>
    <row r="745" spans="1:3" ht="12.75" customHeight="1" x14ac:dyDescent="0.2">
      <c r="A745" s="1"/>
      <c r="C745" s="1"/>
    </row>
    <row r="746" spans="1:3" ht="12.75" customHeight="1" x14ac:dyDescent="0.2">
      <c r="A746" s="1"/>
      <c r="C746" s="1"/>
    </row>
    <row r="747" spans="1:3" ht="12.75" customHeight="1" x14ac:dyDescent="0.2">
      <c r="A747" s="1"/>
      <c r="C747" s="1"/>
    </row>
    <row r="748" spans="1:3" ht="12.75" customHeight="1" x14ac:dyDescent="0.2">
      <c r="A748" s="1"/>
      <c r="C748" s="1"/>
    </row>
    <row r="749" spans="1:3" ht="12.75" customHeight="1" x14ac:dyDescent="0.2">
      <c r="A749" s="1"/>
      <c r="C749" s="1"/>
    </row>
    <row r="750" spans="1:3" ht="12.75" customHeight="1" x14ac:dyDescent="0.2">
      <c r="A750" s="1"/>
      <c r="C750" s="1"/>
    </row>
    <row r="751" spans="1:3" ht="12.75" customHeight="1" x14ac:dyDescent="0.2">
      <c r="A751" s="1"/>
      <c r="C751" s="1"/>
    </row>
    <row r="752" spans="1:3" ht="12.75" customHeight="1" x14ac:dyDescent="0.2">
      <c r="A752" s="1"/>
      <c r="C752" s="1"/>
    </row>
    <row r="753" spans="1:3" ht="12.75" customHeight="1" x14ac:dyDescent="0.2">
      <c r="A753" s="1"/>
      <c r="C753" s="1"/>
    </row>
    <row r="754" spans="1:3" ht="12.75" customHeight="1" x14ac:dyDescent="0.2">
      <c r="A754" s="1"/>
      <c r="C754" s="1"/>
    </row>
    <row r="755" spans="1:3" ht="12.75" customHeight="1" x14ac:dyDescent="0.2">
      <c r="A755" s="1"/>
      <c r="C755" s="1"/>
    </row>
    <row r="756" spans="1:3" ht="12.75" customHeight="1" x14ac:dyDescent="0.2">
      <c r="A756" s="1"/>
      <c r="C756" s="1"/>
    </row>
    <row r="757" spans="1:3" ht="12.75" customHeight="1" x14ac:dyDescent="0.2">
      <c r="A757" s="1"/>
      <c r="C757" s="1"/>
    </row>
    <row r="758" spans="1:3" ht="12.75" customHeight="1" x14ac:dyDescent="0.2">
      <c r="A758" s="1"/>
      <c r="C758" s="1"/>
    </row>
    <row r="759" spans="1:3" ht="12.75" customHeight="1" x14ac:dyDescent="0.2">
      <c r="A759" s="1"/>
      <c r="C759" s="1"/>
    </row>
    <row r="760" spans="1:3" ht="12.75" customHeight="1" x14ac:dyDescent="0.2">
      <c r="A760" s="1"/>
      <c r="C760" s="1"/>
    </row>
    <row r="761" spans="1:3" ht="12.75" customHeight="1" x14ac:dyDescent="0.2">
      <c r="A761" s="1"/>
      <c r="C761" s="1"/>
    </row>
    <row r="762" spans="1:3" ht="12.75" customHeight="1" x14ac:dyDescent="0.2">
      <c r="A762" s="1"/>
      <c r="C762" s="1"/>
    </row>
    <row r="763" spans="1:3" ht="12.75" customHeight="1" x14ac:dyDescent="0.2">
      <c r="A763" s="1"/>
      <c r="C763" s="1"/>
    </row>
    <row r="764" spans="1:3" ht="12.75" customHeight="1" x14ac:dyDescent="0.2">
      <c r="A764" s="1"/>
      <c r="C764" s="1"/>
    </row>
    <row r="765" spans="1:3" ht="12.75" customHeight="1" x14ac:dyDescent="0.2">
      <c r="A765" s="1"/>
      <c r="C765" s="1"/>
    </row>
    <row r="766" spans="1:3" ht="12.75" customHeight="1" x14ac:dyDescent="0.2">
      <c r="A766" s="1"/>
      <c r="C766" s="1"/>
    </row>
    <row r="767" spans="1:3" ht="12.75" customHeight="1" x14ac:dyDescent="0.2">
      <c r="A767" s="1"/>
      <c r="C767" s="1"/>
    </row>
    <row r="768" spans="1:3" ht="12.75" customHeight="1" x14ac:dyDescent="0.2">
      <c r="A768" s="1"/>
      <c r="C768" s="1"/>
    </row>
    <row r="769" spans="1:3" ht="12.75" customHeight="1" x14ac:dyDescent="0.2">
      <c r="A769" s="1"/>
      <c r="C769" s="1"/>
    </row>
    <row r="770" spans="1:3" ht="12.75" customHeight="1" x14ac:dyDescent="0.2">
      <c r="A770" s="1"/>
      <c r="C770" s="1"/>
    </row>
    <row r="771" spans="1:3" ht="12.75" customHeight="1" x14ac:dyDescent="0.2">
      <c r="A771" s="1"/>
      <c r="C771" s="1"/>
    </row>
    <row r="772" spans="1:3" ht="12.75" customHeight="1" x14ac:dyDescent="0.2">
      <c r="A772" s="1"/>
      <c r="C772" s="1"/>
    </row>
    <row r="773" spans="1:3" ht="12.75" customHeight="1" x14ac:dyDescent="0.2">
      <c r="A773" s="1"/>
      <c r="C773" s="1"/>
    </row>
    <row r="774" spans="1:3" ht="12.75" customHeight="1" x14ac:dyDescent="0.2">
      <c r="A774" s="1"/>
      <c r="C774" s="1"/>
    </row>
    <row r="775" spans="1:3" ht="12.75" customHeight="1" x14ac:dyDescent="0.2">
      <c r="A775" s="1"/>
      <c r="C775" s="1"/>
    </row>
    <row r="776" spans="1:3" ht="12.75" customHeight="1" x14ac:dyDescent="0.2">
      <c r="A776" s="1"/>
      <c r="C776" s="1"/>
    </row>
    <row r="777" spans="1:3" ht="12.75" customHeight="1" x14ac:dyDescent="0.2">
      <c r="A777" s="1"/>
      <c r="C777" s="1"/>
    </row>
    <row r="778" spans="1:3" ht="12.75" customHeight="1" x14ac:dyDescent="0.2">
      <c r="A778" s="1"/>
      <c r="C778" s="1"/>
    </row>
    <row r="779" spans="1:3" ht="12.75" customHeight="1" x14ac:dyDescent="0.2">
      <c r="A779" s="1"/>
      <c r="C779" s="1"/>
    </row>
    <row r="780" spans="1:3" ht="12.75" customHeight="1" x14ac:dyDescent="0.2">
      <c r="A780" s="1"/>
      <c r="C780" s="1"/>
    </row>
    <row r="781" spans="1:3" ht="12.75" customHeight="1" x14ac:dyDescent="0.2">
      <c r="A781" s="1"/>
      <c r="C781" s="1"/>
    </row>
    <row r="782" spans="1:3" ht="12.75" customHeight="1" x14ac:dyDescent="0.2">
      <c r="A782" s="1"/>
      <c r="C782" s="1"/>
    </row>
    <row r="783" spans="1:3" ht="12.75" customHeight="1" x14ac:dyDescent="0.2">
      <c r="A783" s="1"/>
      <c r="C783" s="1"/>
    </row>
    <row r="784" spans="1:3" ht="12.75" customHeight="1" x14ac:dyDescent="0.2">
      <c r="A784" s="1"/>
      <c r="C784" s="1"/>
    </row>
    <row r="785" spans="1:3" ht="12.75" customHeight="1" x14ac:dyDescent="0.2">
      <c r="A785" s="1"/>
      <c r="C785" s="1"/>
    </row>
    <row r="786" spans="1:3" ht="12.75" customHeight="1" x14ac:dyDescent="0.2">
      <c r="A786" s="1"/>
      <c r="C786" s="1"/>
    </row>
    <row r="787" spans="1:3" ht="12.75" customHeight="1" x14ac:dyDescent="0.2">
      <c r="A787" s="1"/>
      <c r="C787" s="1"/>
    </row>
    <row r="788" spans="1:3" ht="12.75" customHeight="1" x14ac:dyDescent="0.2">
      <c r="A788" s="1"/>
      <c r="C788" s="1"/>
    </row>
    <row r="789" spans="1:3" ht="12.75" customHeight="1" x14ac:dyDescent="0.2">
      <c r="A789" s="1"/>
      <c r="C789" s="1"/>
    </row>
    <row r="790" spans="1:3" ht="12.75" customHeight="1" x14ac:dyDescent="0.2">
      <c r="A790" s="1"/>
      <c r="C790" s="1"/>
    </row>
    <row r="791" spans="1:3" ht="12.75" customHeight="1" x14ac:dyDescent="0.2">
      <c r="A791" s="1"/>
      <c r="C791" s="1"/>
    </row>
    <row r="792" spans="1:3" ht="12.75" customHeight="1" x14ac:dyDescent="0.2">
      <c r="A792" s="1"/>
      <c r="C792" s="1"/>
    </row>
    <row r="793" spans="1:3" ht="12.75" customHeight="1" x14ac:dyDescent="0.2">
      <c r="A793" s="1"/>
      <c r="C793" s="1"/>
    </row>
    <row r="794" spans="1:3" ht="12.75" customHeight="1" x14ac:dyDescent="0.2">
      <c r="A794" s="1"/>
      <c r="C794" s="1"/>
    </row>
    <row r="795" spans="1:3" ht="12.75" customHeight="1" x14ac:dyDescent="0.2">
      <c r="A795" s="1"/>
      <c r="C795" s="1"/>
    </row>
    <row r="796" spans="1:3" ht="12.75" customHeight="1" x14ac:dyDescent="0.2">
      <c r="A796" s="1"/>
      <c r="C796" s="1"/>
    </row>
    <row r="797" spans="1:3" ht="12.75" customHeight="1" x14ac:dyDescent="0.2">
      <c r="A797" s="1"/>
      <c r="C797" s="1"/>
    </row>
    <row r="798" spans="1:3" ht="12.75" customHeight="1" x14ac:dyDescent="0.2">
      <c r="A798" s="1"/>
      <c r="C798" s="1"/>
    </row>
    <row r="799" spans="1:3" ht="12.75" customHeight="1" x14ac:dyDescent="0.2">
      <c r="A799" s="1"/>
      <c r="C799" s="1"/>
    </row>
    <row r="800" spans="1:3" ht="12.75" customHeight="1" x14ac:dyDescent="0.2">
      <c r="A800" s="1"/>
      <c r="C800" s="1"/>
    </row>
    <row r="801" spans="1:3" ht="12.75" customHeight="1" x14ac:dyDescent="0.2">
      <c r="A801" s="1"/>
      <c r="C801" s="1"/>
    </row>
    <row r="802" spans="1:3" ht="12.75" customHeight="1" x14ac:dyDescent="0.2">
      <c r="A802" s="1"/>
      <c r="C802" s="1"/>
    </row>
    <row r="803" spans="1:3" ht="12.75" customHeight="1" x14ac:dyDescent="0.2">
      <c r="A803" s="1"/>
      <c r="C803" s="1"/>
    </row>
    <row r="804" spans="1:3" ht="12.75" customHeight="1" x14ac:dyDescent="0.2">
      <c r="A804" s="1"/>
      <c r="C804" s="1"/>
    </row>
    <row r="805" spans="1:3" ht="12.75" customHeight="1" x14ac:dyDescent="0.2">
      <c r="A805" s="1"/>
      <c r="C805" s="1"/>
    </row>
    <row r="806" spans="1:3" ht="12.75" customHeight="1" x14ac:dyDescent="0.2">
      <c r="A806" s="1"/>
      <c r="C806" s="1"/>
    </row>
    <row r="807" spans="1:3" ht="12.75" customHeight="1" x14ac:dyDescent="0.2">
      <c r="A807" s="1"/>
      <c r="C807" s="1"/>
    </row>
    <row r="808" spans="1:3" ht="12.75" customHeight="1" x14ac:dyDescent="0.2">
      <c r="A808" s="1"/>
      <c r="C808" s="1"/>
    </row>
    <row r="809" spans="1:3" ht="12.75" customHeight="1" x14ac:dyDescent="0.2">
      <c r="A809" s="1"/>
      <c r="C809" s="1"/>
    </row>
    <row r="810" spans="1:3" ht="12.75" customHeight="1" x14ac:dyDescent="0.2">
      <c r="A810" s="1"/>
      <c r="C810" s="1"/>
    </row>
    <row r="811" spans="1:3" ht="12.75" customHeight="1" x14ac:dyDescent="0.2">
      <c r="A811" s="1"/>
      <c r="C811" s="1"/>
    </row>
    <row r="812" spans="1:3" ht="12.75" customHeight="1" x14ac:dyDescent="0.2">
      <c r="A812" s="1"/>
      <c r="C812" s="1"/>
    </row>
    <row r="813" spans="1:3" ht="12.75" customHeight="1" x14ac:dyDescent="0.2">
      <c r="A813" s="1"/>
      <c r="C813" s="1"/>
    </row>
    <row r="814" spans="1:3" ht="12.75" customHeight="1" x14ac:dyDescent="0.2">
      <c r="A814" s="1"/>
      <c r="C814" s="1"/>
    </row>
    <row r="815" spans="1:3" ht="12.75" customHeight="1" x14ac:dyDescent="0.2">
      <c r="A815" s="1"/>
      <c r="C815" s="1"/>
    </row>
    <row r="816" spans="1:3" ht="12.75" customHeight="1" x14ac:dyDescent="0.2">
      <c r="A816" s="1"/>
      <c r="C816" s="1"/>
    </row>
    <row r="817" spans="1:3" ht="12.75" customHeight="1" x14ac:dyDescent="0.2">
      <c r="A817" s="1"/>
      <c r="C817" s="1"/>
    </row>
    <row r="818" spans="1:3" ht="12.75" customHeight="1" x14ac:dyDescent="0.2">
      <c r="A818" s="1"/>
      <c r="C818" s="1"/>
    </row>
    <row r="819" spans="1:3" ht="12.75" customHeight="1" x14ac:dyDescent="0.2">
      <c r="A819" s="1"/>
      <c r="C819" s="1"/>
    </row>
    <row r="820" spans="1:3" ht="12.75" customHeight="1" x14ac:dyDescent="0.2">
      <c r="A820" s="1"/>
      <c r="C820" s="1"/>
    </row>
    <row r="821" spans="1:3" ht="12.75" customHeight="1" x14ac:dyDescent="0.2">
      <c r="A821" s="1"/>
      <c r="C821" s="1"/>
    </row>
    <row r="822" spans="1:3" ht="12.75" customHeight="1" x14ac:dyDescent="0.2">
      <c r="A822" s="1"/>
      <c r="C822" s="1"/>
    </row>
    <row r="823" spans="1:3" ht="12.75" customHeight="1" x14ac:dyDescent="0.2">
      <c r="A823" s="1"/>
      <c r="C823" s="1"/>
    </row>
    <row r="824" spans="1:3" ht="12.75" customHeight="1" x14ac:dyDescent="0.2">
      <c r="A824" s="1"/>
      <c r="C824" s="1"/>
    </row>
    <row r="825" spans="1:3" ht="12.75" customHeight="1" x14ac:dyDescent="0.2">
      <c r="A825" s="1"/>
      <c r="C825" s="1"/>
    </row>
    <row r="826" spans="1:3" ht="12.75" customHeight="1" x14ac:dyDescent="0.2">
      <c r="A826" s="1"/>
      <c r="C826" s="1"/>
    </row>
    <row r="827" spans="1:3" ht="12.75" customHeight="1" x14ac:dyDescent="0.2">
      <c r="A827" s="1"/>
      <c r="C827" s="1"/>
    </row>
    <row r="828" spans="1:3" ht="12.75" customHeight="1" x14ac:dyDescent="0.2">
      <c r="A828" s="1"/>
      <c r="C828" s="1"/>
    </row>
    <row r="829" spans="1:3" ht="12.75" customHeight="1" x14ac:dyDescent="0.2">
      <c r="A829" s="1"/>
      <c r="C829" s="1"/>
    </row>
    <row r="830" spans="1:3" ht="12.75" customHeight="1" x14ac:dyDescent="0.2">
      <c r="A830" s="1"/>
      <c r="C830" s="1"/>
    </row>
    <row r="831" spans="1:3" ht="12.75" customHeight="1" x14ac:dyDescent="0.2">
      <c r="A831" s="1"/>
      <c r="C831" s="1"/>
    </row>
    <row r="832" spans="1:3" ht="12.75" customHeight="1" x14ac:dyDescent="0.2">
      <c r="A832" s="1"/>
      <c r="C832" s="1"/>
    </row>
    <row r="833" spans="1:3" ht="12.75" customHeight="1" x14ac:dyDescent="0.2">
      <c r="A833" s="1"/>
      <c r="C833" s="1"/>
    </row>
    <row r="834" spans="1:3" ht="12.75" customHeight="1" x14ac:dyDescent="0.2">
      <c r="A834" s="1"/>
      <c r="C834" s="1"/>
    </row>
    <row r="835" spans="1:3" ht="12.75" customHeight="1" x14ac:dyDescent="0.2">
      <c r="A835" s="1"/>
      <c r="C835" s="1"/>
    </row>
    <row r="836" spans="1:3" ht="12.75" customHeight="1" x14ac:dyDescent="0.2">
      <c r="A836" s="1"/>
      <c r="C836" s="1"/>
    </row>
    <row r="837" spans="1:3" ht="12.75" customHeight="1" x14ac:dyDescent="0.2">
      <c r="A837" s="1"/>
      <c r="C837" s="1"/>
    </row>
    <row r="838" spans="1:3" ht="12.75" customHeight="1" x14ac:dyDescent="0.2">
      <c r="A838" s="1"/>
      <c r="C838" s="1"/>
    </row>
    <row r="839" spans="1:3" ht="12.75" customHeight="1" x14ac:dyDescent="0.2">
      <c r="A839" s="1"/>
      <c r="C839" s="1"/>
    </row>
    <row r="840" spans="1:3" ht="12.75" customHeight="1" x14ac:dyDescent="0.2">
      <c r="A840" s="1"/>
      <c r="C840" s="1"/>
    </row>
    <row r="841" spans="1:3" ht="12.75" customHeight="1" x14ac:dyDescent="0.2">
      <c r="A841" s="1"/>
      <c r="C841" s="1"/>
    </row>
    <row r="842" spans="1:3" ht="12.75" customHeight="1" x14ac:dyDescent="0.2">
      <c r="A842" s="1"/>
      <c r="C842" s="1"/>
    </row>
    <row r="843" spans="1:3" ht="12.75" customHeight="1" x14ac:dyDescent="0.2">
      <c r="A843" s="1"/>
      <c r="C843" s="1"/>
    </row>
    <row r="844" spans="1:3" ht="12.75" customHeight="1" x14ac:dyDescent="0.2">
      <c r="A844" s="1"/>
      <c r="C844" s="1"/>
    </row>
    <row r="845" spans="1:3" ht="12.75" customHeight="1" x14ac:dyDescent="0.2">
      <c r="A845" s="1"/>
      <c r="C845" s="1"/>
    </row>
    <row r="846" spans="1:3" ht="12.75" customHeight="1" x14ac:dyDescent="0.2">
      <c r="A846" s="1"/>
      <c r="C846" s="1"/>
    </row>
    <row r="847" spans="1:3" ht="12.75" customHeight="1" x14ac:dyDescent="0.2">
      <c r="A847" s="1"/>
      <c r="C847" s="1"/>
    </row>
    <row r="848" spans="1:3" ht="12.75" customHeight="1" x14ac:dyDescent="0.2">
      <c r="A848" s="1"/>
      <c r="C848" s="1"/>
    </row>
    <row r="849" spans="1:3" ht="12.75" customHeight="1" x14ac:dyDescent="0.2">
      <c r="A849" s="1"/>
      <c r="C849" s="1"/>
    </row>
    <row r="850" spans="1:3" ht="12.75" customHeight="1" x14ac:dyDescent="0.2">
      <c r="A850" s="1"/>
      <c r="C850" s="1"/>
    </row>
    <row r="851" spans="1:3" ht="12.75" customHeight="1" x14ac:dyDescent="0.2">
      <c r="A851" s="1"/>
      <c r="C851" s="1"/>
    </row>
    <row r="852" spans="1:3" ht="12.75" customHeight="1" x14ac:dyDescent="0.2">
      <c r="A852" s="1"/>
      <c r="C852" s="1"/>
    </row>
    <row r="853" spans="1:3" ht="12.75" customHeight="1" x14ac:dyDescent="0.2">
      <c r="A853" s="1"/>
      <c r="C853" s="1"/>
    </row>
    <row r="854" spans="1:3" ht="12.75" customHeight="1" x14ac:dyDescent="0.2">
      <c r="A854" s="1"/>
      <c r="C854" s="1"/>
    </row>
    <row r="855" spans="1:3" ht="12.75" customHeight="1" x14ac:dyDescent="0.2">
      <c r="A855" s="1"/>
      <c r="C855" s="1"/>
    </row>
    <row r="856" spans="1:3" ht="12.75" customHeight="1" x14ac:dyDescent="0.2">
      <c r="A856" s="1"/>
      <c r="C856" s="1"/>
    </row>
    <row r="857" spans="1:3" ht="12.75" customHeight="1" x14ac:dyDescent="0.2">
      <c r="A857" s="1"/>
      <c r="C857" s="1"/>
    </row>
    <row r="858" spans="1:3" ht="12.75" customHeight="1" x14ac:dyDescent="0.2">
      <c r="A858" s="1"/>
      <c r="C858" s="1"/>
    </row>
    <row r="859" spans="1:3" ht="12.75" customHeight="1" x14ac:dyDescent="0.2">
      <c r="A859" s="1"/>
      <c r="C859" s="1"/>
    </row>
    <row r="860" spans="1:3" ht="12.75" customHeight="1" x14ac:dyDescent="0.2">
      <c r="A860" s="1"/>
      <c r="C860" s="1"/>
    </row>
    <row r="861" spans="1:3" ht="12.75" customHeight="1" x14ac:dyDescent="0.2">
      <c r="A861" s="1"/>
      <c r="C861" s="1"/>
    </row>
    <row r="862" spans="1:3" ht="12.75" customHeight="1" x14ac:dyDescent="0.2">
      <c r="A862" s="1"/>
      <c r="C862" s="1"/>
    </row>
    <row r="863" spans="1:3" ht="12.75" customHeight="1" x14ac:dyDescent="0.2">
      <c r="A863" s="1"/>
      <c r="C863" s="1"/>
    </row>
    <row r="864" spans="1:3" ht="12.75" customHeight="1" x14ac:dyDescent="0.2">
      <c r="A864" s="1"/>
      <c r="C864" s="1"/>
    </row>
    <row r="865" spans="1:3" ht="12.75" customHeight="1" x14ac:dyDescent="0.2">
      <c r="A865" s="1"/>
      <c r="C865" s="1"/>
    </row>
    <row r="866" spans="1:3" ht="12.75" customHeight="1" x14ac:dyDescent="0.2">
      <c r="A866" s="1"/>
      <c r="C866" s="1"/>
    </row>
    <row r="867" spans="1:3" ht="12.75" customHeight="1" x14ac:dyDescent="0.2">
      <c r="A867" s="1"/>
      <c r="C867" s="1"/>
    </row>
    <row r="868" spans="1:3" ht="12.75" customHeight="1" x14ac:dyDescent="0.2">
      <c r="A868" s="1"/>
      <c r="C868" s="1"/>
    </row>
    <row r="869" spans="1:3" ht="12.75" customHeight="1" x14ac:dyDescent="0.2">
      <c r="A869" s="1"/>
      <c r="C869" s="1"/>
    </row>
    <row r="870" spans="1:3" ht="12.75" customHeight="1" x14ac:dyDescent="0.2">
      <c r="A870" s="1"/>
      <c r="C870" s="1"/>
    </row>
    <row r="871" spans="1:3" ht="12.75" customHeight="1" x14ac:dyDescent="0.2">
      <c r="A871" s="1"/>
      <c r="C871" s="1"/>
    </row>
    <row r="872" spans="1:3" ht="12.75" customHeight="1" x14ac:dyDescent="0.2">
      <c r="A872" s="1"/>
      <c r="C872" s="1"/>
    </row>
    <row r="873" spans="1:3" ht="12.75" customHeight="1" x14ac:dyDescent="0.2">
      <c r="A873" s="1"/>
      <c r="C873" s="1"/>
    </row>
    <row r="874" spans="1:3" ht="12.75" customHeight="1" x14ac:dyDescent="0.2">
      <c r="A874" s="1"/>
      <c r="C874" s="1"/>
    </row>
    <row r="875" spans="1:3" ht="12.75" customHeight="1" x14ac:dyDescent="0.2">
      <c r="A875" s="1"/>
      <c r="C875" s="1"/>
    </row>
    <row r="876" spans="1:3" ht="12.75" customHeight="1" x14ac:dyDescent="0.2">
      <c r="A876" s="1"/>
      <c r="C876" s="1"/>
    </row>
    <row r="877" spans="1:3" ht="12.75" customHeight="1" x14ac:dyDescent="0.2">
      <c r="A877" s="1"/>
      <c r="C877" s="1"/>
    </row>
    <row r="878" spans="1:3" ht="12.75" customHeight="1" x14ac:dyDescent="0.2">
      <c r="A878" s="1"/>
      <c r="C878" s="1"/>
    </row>
    <row r="879" spans="1:3" ht="12.75" customHeight="1" x14ac:dyDescent="0.2">
      <c r="A879" s="1"/>
      <c r="C879" s="1"/>
    </row>
    <row r="880" spans="1:3" ht="12.75" customHeight="1" x14ac:dyDescent="0.2">
      <c r="A880" s="1"/>
      <c r="C880" s="1"/>
    </row>
    <row r="881" spans="1:3" ht="12.75" customHeight="1" x14ac:dyDescent="0.2">
      <c r="A881" s="1"/>
      <c r="C881" s="1"/>
    </row>
    <row r="882" spans="1:3" ht="12.75" customHeight="1" x14ac:dyDescent="0.2">
      <c r="A882" s="1"/>
      <c r="C882" s="1"/>
    </row>
    <row r="883" spans="1:3" ht="12.75" customHeight="1" x14ac:dyDescent="0.2">
      <c r="A883" s="1"/>
      <c r="C883" s="1"/>
    </row>
    <row r="884" spans="1:3" ht="12.75" customHeight="1" x14ac:dyDescent="0.2">
      <c r="A884" s="1"/>
      <c r="C884" s="1"/>
    </row>
    <row r="885" spans="1:3" ht="12.75" customHeight="1" x14ac:dyDescent="0.2">
      <c r="A885" s="1"/>
      <c r="C885" s="1"/>
    </row>
    <row r="886" spans="1:3" ht="12.75" customHeight="1" x14ac:dyDescent="0.2">
      <c r="A886" s="1"/>
      <c r="C886" s="1"/>
    </row>
    <row r="887" spans="1:3" ht="12.75" customHeight="1" x14ac:dyDescent="0.2">
      <c r="A887" s="1"/>
      <c r="C887" s="1"/>
    </row>
    <row r="888" spans="1:3" ht="12.75" customHeight="1" x14ac:dyDescent="0.2">
      <c r="A888" s="1"/>
      <c r="C888" s="1"/>
    </row>
    <row r="889" spans="1:3" ht="12.75" customHeight="1" x14ac:dyDescent="0.2">
      <c r="A889" s="1"/>
      <c r="C889" s="1"/>
    </row>
    <row r="890" spans="1:3" ht="12.75" customHeight="1" x14ac:dyDescent="0.2">
      <c r="A890" s="1"/>
      <c r="C890" s="1"/>
    </row>
    <row r="891" spans="1:3" ht="12.75" customHeight="1" x14ac:dyDescent="0.2">
      <c r="A891" s="1"/>
      <c r="C891" s="1"/>
    </row>
    <row r="892" spans="1:3" ht="12.75" customHeight="1" x14ac:dyDescent="0.2">
      <c r="A892" s="1"/>
      <c r="C892" s="1"/>
    </row>
    <row r="893" spans="1:3" ht="12.75" customHeight="1" x14ac:dyDescent="0.2">
      <c r="A893" s="1"/>
      <c r="C893" s="1"/>
    </row>
    <row r="894" spans="1:3" ht="12.75" customHeight="1" x14ac:dyDescent="0.2">
      <c r="A894" s="1"/>
      <c r="C894" s="1"/>
    </row>
    <row r="895" spans="1:3" ht="12.75" customHeight="1" x14ac:dyDescent="0.2">
      <c r="A895" s="1"/>
      <c r="C895" s="1"/>
    </row>
    <row r="896" spans="1:3" ht="12.75" customHeight="1" x14ac:dyDescent="0.2">
      <c r="A896" s="1"/>
      <c r="C896" s="1"/>
    </row>
    <row r="897" spans="1:3" ht="12.75" customHeight="1" x14ac:dyDescent="0.2">
      <c r="A897" s="1"/>
      <c r="C897" s="1"/>
    </row>
    <row r="898" spans="1:3" ht="12.75" customHeight="1" x14ac:dyDescent="0.2">
      <c r="A898" s="1"/>
      <c r="C898" s="1"/>
    </row>
    <row r="899" spans="1:3" ht="12.75" customHeight="1" x14ac:dyDescent="0.2">
      <c r="A899" s="1"/>
      <c r="C899" s="1"/>
    </row>
    <row r="900" spans="1:3" ht="12.75" customHeight="1" x14ac:dyDescent="0.2">
      <c r="A900" s="1"/>
      <c r="C900" s="1"/>
    </row>
    <row r="901" spans="1:3" ht="12.75" customHeight="1" x14ac:dyDescent="0.2">
      <c r="A901" s="1"/>
      <c r="C901" s="1"/>
    </row>
    <row r="902" spans="1:3" ht="12.75" customHeight="1" x14ac:dyDescent="0.2">
      <c r="A902" s="1"/>
      <c r="C902" s="1"/>
    </row>
    <row r="903" spans="1:3" ht="12.75" customHeight="1" x14ac:dyDescent="0.2">
      <c r="A903" s="1"/>
      <c r="C903" s="1"/>
    </row>
    <row r="904" spans="1:3" ht="12.75" customHeight="1" x14ac:dyDescent="0.2">
      <c r="A904" s="1"/>
      <c r="C904" s="1"/>
    </row>
    <row r="905" spans="1:3" ht="12.75" customHeight="1" x14ac:dyDescent="0.2">
      <c r="A905" s="1"/>
      <c r="C905" s="1"/>
    </row>
    <row r="906" spans="1:3" ht="12.75" customHeight="1" x14ac:dyDescent="0.2">
      <c r="A906" s="1"/>
      <c r="C906" s="1"/>
    </row>
    <row r="907" spans="1:3" ht="12.75" customHeight="1" x14ac:dyDescent="0.2">
      <c r="A907" s="1"/>
      <c r="C907" s="1"/>
    </row>
    <row r="908" spans="1:3" ht="12.75" customHeight="1" x14ac:dyDescent="0.2">
      <c r="A908" s="1"/>
      <c r="C908" s="1"/>
    </row>
    <row r="909" spans="1:3" ht="12.75" customHeight="1" x14ac:dyDescent="0.2">
      <c r="A909" s="1"/>
      <c r="C909" s="1"/>
    </row>
    <row r="910" spans="1:3" ht="12.75" customHeight="1" x14ac:dyDescent="0.2">
      <c r="A910" s="1"/>
      <c r="C910" s="1"/>
    </row>
    <row r="911" spans="1:3" ht="12.75" customHeight="1" x14ac:dyDescent="0.2">
      <c r="A911" s="1"/>
      <c r="C911" s="1"/>
    </row>
    <row r="912" spans="1:3" ht="12.75" customHeight="1" x14ac:dyDescent="0.2">
      <c r="A912" s="1"/>
      <c r="C912" s="1"/>
    </row>
    <row r="913" spans="1:3" ht="12.75" customHeight="1" x14ac:dyDescent="0.2">
      <c r="A913" s="1"/>
      <c r="C913" s="1"/>
    </row>
    <row r="914" spans="1:3" ht="12.75" customHeight="1" x14ac:dyDescent="0.2">
      <c r="A914" s="1"/>
      <c r="C914" s="1"/>
    </row>
    <row r="915" spans="1:3" ht="12.75" customHeight="1" x14ac:dyDescent="0.2">
      <c r="A915" s="1"/>
      <c r="C915" s="1"/>
    </row>
    <row r="916" spans="1:3" ht="12.75" customHeight="1" x14ac:dyDescent="0.2">
      <c r="A916" s="1"/>
      <c r="C916" s="1"/>
    </row>
    <row r="917" spans="1:3" ht="12.75" customHeight="1" x14ac:dyDescent="0.2">
      <c r="A917" s="1"/>
      <c r="C917" s="1"/>
    </row>
    <row r="918" spans="1:3" ht="12.75" customHeight="1" x14ac:dyDescent="0.2">
      <c r="A918" s="1"/>
      <c r="C918" s="1"/>
    </row>
    <row r="919" spans="1:3" ht="12.75" customHeight="1" x14ac:dyDescent="0.2">
      <c r="A919" s="1"/>
      <c r="C919" s="1"/>
    </row>
    <row r="920" spans="1:3" ht="12.75" customHeight="1" x14ac:dyDescent="0.2">
      <c r="A920" s="1"/>
      <c r="C920" s="1"/>
    </row>
    <row r="921" spans="1:3" ht="12.75" customHeight="1" x14ac:dyDescent="0.2">
      <c r="A921" s="1"/>
      <c r="C921" s="1"/>
    </row>
    <row r="922" spans="1:3" ht="12.75" customHeight="1" x14ac:dyDescent="0.2">
      <c r="A922" s="1"/>
      <c r="C922" s="1"/>
    </row>
    <row r="923" spans="1:3" ht="12.75" customHeight="1" x14ac:dyDescent="0.2">
      <c r="A923" s="1"/>
      <c r="C923" s="1"/>
    </row>
    <row r="924" spans="1:3" ht="12.75" customHeight="1" x14ac:dyDescent="0.2">
      <c r="A924" s="1"/>
      <c r="C924" s="1"/>
    </row>
    <row r="925" spans="1:3" ht="12.75" customHeight="1" x14ac:dyDescent="0.2">
      <c r="A925" s="1"/>
      <c r="C925" s="1"/>
    </row>
    <row r="926" spans="1:3" ht="12.75" customHeight="1" x14ac:dyDescent="0.2">
      <c r="A926" s="1"/>
      <c r="C926" s="1"/>
    </row>
    <row r="927" spans="1:3" ht="12.75" customHeight="1" x14ac:dyDescent="0.2">
      <c r="A927" s="1"/>
      <c r="C927" s="1"/>
    </row>
    <row r="928" spans="1:3" ht="12.75" customHeight="1" x14ac:dyDescent="0.2">
      <c r="A928" s="1"/>
      <c r="C928" s="1"/>
    </row>
    <row r="929" spans="1:3" ht="12.75" customHeight="1" x14ac:dyDescent="0.2">
      <c r="A929" s="1"/>
      <c r="C929" s="1"/>
    </row>
    <row r="930" spans="1:3" ht="12.75" customHeight="1" x14ac:dyDescent="0.2">
      <c r="A930" s="1"/>
      <c r="C930" s="1"/>
    </row>
    <row r="931" spans="1:3" ht="12.75" customHeight="1" x14ac:dyDescent="0.2">
      <c r="A931" s="1"/>
      <c r="C931" s="1"/>
    </row>
    <row r="932" spans="1:3" ht="12.75" customHeight="1" x14ac:dyDescent="0.2">
      <c r="A932" s="1"/>
      <c r="C932" s="1"/>
    </row>
    <row r="933" spans="1:3" ht="12.75" customHeight="1" x14ac:dyDescent="0.2">
      <c r="A933" s="1"/>
      <c r="C933" s="1"/>
    </row>
    <row r="934" spans="1:3" ht="12.75" customHeight="1" x14ac:dyDescent="0.2">
      <c r="A934" s="1"/>
      <c r="C934" s="1"/>
    </row>
    <row r="935" spans="1:3" ht="12.75" customHeight="1" x14ac:dyDescent="0.2">
      <c r="A935" s="1"/>
      <c r="C935" s="1"/>
    </row>
    <row r="936" spans="1:3" ht="12.75" customHeight="1" x14ac:dyDescent="0.2">
      <c r="A936" s="1"/>
      <c r="C936" s="1"/>
    </row>
    <row r="937" spans="1:3" ht="12.75" customHeight="1" x14ac:dyDescent="0.2">
      <c r="A937" s="1"/>
      <c r="C937" s="1"/>
    </row>
    <row r="938" spans="1:3" ht="12.75" customHeight="1" x14ac:dyDescent="0.2">
      <c r="A938" s="1"/>
      <c r="C938" s="1"/>
    </row>
    <row r="939" spans="1:3" ht="12.75" customHeight="1" x14ac:dyDescent="0.2">
      <c r="A939" s="1"/>
      <c r="C939" s="1"/>
    </row>
    <row r="940" spans="1:3" ht="12.75" customHeight="1" x14ac:dyDescent="0.2">
      <c r="A940" s="1"/>
      <c r="C940" s="1"/>
    </row>
    <row r="941" spans="1:3" ht="12.75" customHeight="1" x14ac:dyDescent="0.2">
      <c r="A941" s="1"/>
      <c r="C941" s="1"/>
    </row>
    <row r="942" spans="1:3" ht="12.75" customHeight="1" x14ac:dyDescent="0.2">
      <c r="A942" s="1"/>
      <c r="C942" s="1"/>
    </row>
    <row r="943" spans="1:3" ht="12.75" customHeight="1" x14ac:dyDescent="0.2">
      <c r="A943" s="1"/>
      <c r="C943" s="1"/>
    </row>
    <row r="944" spans="1:3" ht="12.75" customHeight="1" x14ac:dyDescent="0.2">
      <c r="A944" s="1"/>
      <c r="C944" s="1"/>
    </row>
    <row r="945" spans="1:3" ht="12.75" customHeight="1" x14ac:dyDescent="0.2">
      <c r="A945" s="1"/>
      <c r="C945" s="1"/>
    </row>
    <row r="946" spans="1:3" ht="12.75" customHeight="1" x14ac:dyDescent="0.2">
      <c r="A946" s="1"/>
      <c r="C946" s="1"/>
    </row>
    <row r="947" spans="1:3" ht="12.75" customHeight="1" x14ac:dyDescent="0.2">
      <c r="A947" s="1"/>
      <c r="C947" s="1"/>
    </row>
    <row r="948" spans="1:3" ht="12.75" customHeight="1" x14ac:dyDescent="0.2">
      <c r="A948" s="1"/>
      <c r="C948" s="1"/>
    </row>
    <row r="949" spans="1:3" ht="12.75" customHeight="1" x14ac:dyDescent="0.2">
      <c r="A949" s="1"/>
      <c r="C949" s="1"/>
    </row>
    <row r="950" spans="1:3" ht="12.75" customHeight="1" x14ac:dyDescent="0.2">
      <c r="A950" s="1"/>
      <c r="C950" s="1"/>
    </row>
    <row r="951" spans="1:3" ht="12.75" customHeight="1" x14ac:dyDescent="0.2">
      <c r="A951" s="1"/>
      <c r="C951" s="1"/>
    </row>
    <row r="952" spans="1:3" ht="12.75" customHeight="1" x14ac:dyDescent="0.2">
      <c r="A952" s="1"/>
      <c r="C952" s="1"/>
    </row>
    <row r="953" spans="1:3" ht="12.75" customHeight="1" x14ac:dyDescent="0.2">
      <c r="A953" s="1"/>
      <c r="C953" s="1"/>
    </row>
    <row r="954" spans="1:3" ht="12.75" customHeight="1" x14ac:dyDescent="0.2">
      <c r="A954" s="1"/>
      <c r="C954" s="1"/>
    </row>
    <row r="955" spans="1:3" ht="12.75" customHeight="1" x14ac:dyDescent="0.2">
      <c r="A955" s="1"/>
      <c r="C955" s="1"/>
    </row>
    <row r="956" spans="1:3" ht="12.75" customHeight="1" x14ac:dyDescent="0.2">
      <c r="A956" s="1"/>
      <c r="C956" s="1"/>
    </row>
    <row r="957" spans="1:3" ht="12.75" customHeight="1" x14ac:dyDescent="0.2">
      <c r="A957" s="1"/>
      <c r="C957" s="1"/>
    </row>
    <row r="958" spans="1:3" ht="12.75" customHeight="1" x14ac:dyDescent="0.2">
      <c r="A958" s="1"/>
      <c r="C958" s="1"/>
    </row>
    <row r="959" spans="1:3" ht="12.75" customHeight="1" x14ac:dyDescent="0.2">
      <c r="A959" s="1"/>
      <c r="C959" s="1"/>
    </row>
    <row r="960" spans="1:3" ht="12.75" customHeight="1" x14ac:dyDescent="0.2">
      <c r="A960" s="1"/>
      <c r="C960" s="1"/>
    </row>
    <row r="961" spans="1:3" ht="12.75" customHeight="1" x14ac:dyDescent="0.2">
      <c r="A961" s="1"/>
      <c r="C961" s="1"/>
    </row>
    <row r="962" spans="1:3" ht="12.75" customHeight="1" x14ac:dyDescent="0.2">
      <c r="A962" s="1"/>
      <c r="C962" s="1"/>
    </row>
    <row r="963" spans="1:3" ht="12.75" customHeight="1" x14ac:dyDescent="0.2">
      <c r="A963" s="1"/>
      <c r="C963" s="1"/>
    </row>
    <row r="964" spans="1:3" ht="12.75" customHeight="1" x14ac:dyDescent="0.2">
      <c r="A964" s="1"/>
      <c r="C964" s="1"/>
    </row>
    <row r="965" spans="1:3" ht="12.75" customHeight="1" x14ac:dyDescent="0.2">
      <c r="A965" s="1"/>
      <c r="C965" s="1"/>
    </row>
    <row r="966" spans="1:3" ht="12.75" customHeight="1" x14ac:dyDescent="0.2">
      <c r="A966" s="1"/>
      <c r="C966" s="1"/>
    </row>
    <row r="967" spans="1:3" ht="12.75" customHeight="1" x14ac:dyDescent="0.2">
      <c r="A967" s="1"/>
      <c r="C967" s="1"/>
    </row>
    <row r="968" spans="1:3" ht="12.75" customHeight="1" x14ac:dyDescent="0.2">
      <c r="A968" s="1"/>
      <c r="C968" s="1"/>
    </row>
    <row r="969" spans="1:3" ht="12.75" customHeight="1" x14ac:dyDescent="0.2">
      <c r="A969" s="1"/>
      <c r="C969" s="1"/>
    </row>
    <row r="970" spans="1:3" ht="12.75" customHeight="1" x14ac:dyDescent="0.2">
      <c r="A970" s="1"/>
      <c r="C970" s="1"/>
    </row>
    <row r="971" spans="1:3" ht="12.75" customHeight="1" x14ac:dyDescent="0.2">
      <c r="A971" s="1"/>
      <c r="C971" s="1"/>
    </row>
    <row r="972" spans="1:3" ht="12.75" customHeight="1" x14ac:dyDescent="0.2">
      <c r="A972" s="1"/>
      <c r="C972" s="1"/>
    </row>
    <row r="973" spans="1:3" ht="12.75" customHeight="1" x14ac:dyDescent="0.2">
      <c r="A973" s="1"/>
      <c r="C973" s="1"/>
    </row>
    <row r="974" spans="1:3" ht="12.75" customHeight="1" x14ac:dyDescent="0.2">
      <c r="A974" s="1"/>
      <c r="C974" s="1"/>
    </row>
    <row r="975" spans="1:3" ht="12.75" customHeight="1" x14ac:dyDescent="0.2">
      <c r="A975" s="1"/>
      <c r="C975" s="1"/>
    </row>
    <row r="976" spans="1:3" ht="12.75" customHeight="1" x14ac:dyDescent="0.2">
      <c r="A976" s="1"/>
      <c r="C976" s="1"/>
    </row>
    <row r="977" spans="1:3" ht="12.75" customHeight="1" x14ac:dyDescent="0.2">
      <c r="A977" s="1"/>
      <c r="C977" s="1"/>
    </row>
    <row r="978" spans="1:3" ht="12.75" customHeight="1" x14ac:dyDescent="0.2">
      <c r="A978" s="1"/>
      <c r="C978" s="1"/>
    </row>
    <row r="979" spans="1:3" ht="12.75" customHeight="1" x14ac:dyDescent="0.2">
      <c r="A979" s="1"/>
      <c r="C979" s="1"/>
    </row>
    <row r="980" spans="1:3" ht="12.75" customHeight="1" x14ac:dyDescent="0.2">
      <c r="A980" s="1"/>
      <c r="C980" s="1"/>
    </row>
    <row r="981" spans="1:3" ht="12.75" customHeight="1" x14ac:dyDescent="0.2">
      <c r="A981" s="1"/>
      <c r="C981" s="1"/>
    </row>
    <row r="982" spans="1:3" ht="12.75" customHeight="1" x14ac:dyDescent="0.2">
      <c r="A982" s="1"/>
      <c r="C982" s="1"/>
    </row>
    <row r="983" spans="1:3" ht="12.75" customHeight="1" x14ac:dyDescent="0.2">
      <c r="A983" s="1"/>
      <c r="C983" s="1"/>
    </row>
    <row r="984" spans="1:3" ht="12.75" customHeight="1" x14ac:dyDescent="0.2">
      <c r="A984" s="1"/>
      <c r="C984" s="1"/>
    </row>
    <row r="985" spans="1:3" ht="12.75" customHeight="1" x14ac:dyDescent="0.2">
      <c r="A985" s="1"/>
      <c r="C985" s="1"/>
    </row>
    <row r="986" spans="1:3" ht="12.75" customHeight="1" x14ac:dyDescent="0.2">
      <c r="A986" s="1"/>
      <c r="C986" s="1"/>
    </row>
    <row r="987" spans="1:3" ht="12.75" customHeight="1" x14ac:dyDescent="0.2">
      <c r="A987" s="1"/>
      <c r="C987" s="1"/>
    </row>
    <row r="988" spans="1:3" ht="12.75" customHeight="1" x14ac:dyDescent="0.2">
      <c r="A988" s="1"/>
      <c r="C988" s="1"/>
    </row>
    <row r="989" spans="1:3" ht="12.75" customHeight="1" x14ac:dyDescent="0.2">
      <c r="A989" s="1"/>
      <c r="C989" s="1"/>
    </row>
    <row r="990" spans="1:3" ht="12.75" customHeight="1" x14ac:dyDescent="0.2">
      <c r="A990" s="1"/>
      <c r="C990" s="1"/>
    </row>
    <row r="991" spans="1:3" ht="12.75" customHeight="1" x14ac:dyDescent="0.2">
      <c r="A991" s="1"/>
      <c r="C991" s="1"/>
    </row>
    <row r="992" spans="1:3" ht="12.75" customHeight="1" x14ac:dyDescent="0.2">
      <c r="A992" s="1"/>
      <c r="C992" s="1"/>
    </row>
    <row r="993" spans="1:3" ht="12.75" customHeight="1" x14ac:dyDescent="0.2">
      <c r="A993" s="1"/>
      <c r="C993" s="1"/>
    </row>
    <row r="994" spans="1:3" ht="12.75" customHeight="1" x14ac:dyDescent="0.2">
      <c r="A994" s="1"/>
      <c r="C994" s="1"/>
    </row>
    <row r="995" spans="1:3" ht="12.75" customHeight="1" x14ac:dyDescent="0.2">
      <c r="A995" s="1"/>
      <c r="C995" s="1"/>
    </row>
    <row r="996" spans="1:3" ht="12.75" customHeight="1" x14ac:dyDescent="0.2">
      <c r="A996" s="1"/>
      <c r="C996" s="1"/>
    </row>
    <row r="997" spans="1:3" ht="12.75" customHeight="1" x14ac:dyDescent="0.2">
      <c r="A997" s="1"/>
      <c r="C997" s="1"/>
    </row>
    <row r="998" spans="1:3" ht="12.75" customHeight="1" x14ac:dyDescent="0.2">
      <c r="A998" s="1"/>
      <c r="C998" s="1"/>
    </row>
    <row r="999" spans="1:3" ht="12.75" customHeight="1" x14ac:dyDescent="0.2">
      <c r="A999" s="1"/>
      <c r="C999" s="1"/>
    </row>
    <row r="1000" spans="1:3" ht="12.75" customHeight="1" x14ac:dyDescent="0.2">
      <c r="A1000" s="1"/>
      <c r="C1000" s="1"/>
    </row>
    <row r="1001" spans="1:3" ht="12.75" customHeight="1" x14ac:dyDescent="0.2">
      <c r="A1001" s="1"/>
      <c r="C1001" s="1"/>
    </row>
    <row r="1002" spans="1:3" ht="12.75" customHeight="1" x14ac:dyDescent="0.2">
      <c r="A1002" s="1"/>
      <c r="C1002" s="1"/>
    </row>
    <row r="1003" spans="1:3" ht="12.75" customHeight="1" x14ac:dyDescent="0.2">
      <c r="A1003" s="1"/>
      <c r="C1003" s="1"/>
    </row>
    <row r="1004" spans="1:3" ht="12.75" customHeight="1" x14ac:dyDescent="0.2">
      <c r="A1004" s="1"/>
      <c r="C1004" s="1"/>
    </row>
    <row r="1005" spans="1:3" ht="12.75" customHeight="1" x14ac:dyDescent="0.2">
      <c r="A1005" s="1"/>
      <c r="C1005" s="1"/>
    </row>
    <row r="1006" spans="1:3" ht="12.75" customHeight="1" x14ac:dyDescent="0.2">
      <c r="A1006" s="1"/>
      <c r="C1006" s="1"/>
    </row>
    <row r="1007" spans="1:3" ht="12.75" customHeight="1" x14ac:dyDescent="0.2">
      <c r="A1007" s="1"/>
      <c r="C1007" s="1"/>
    </row>
    <row r="1008" spans="1:3" ht="12.75" customHeight="1" x14ac:dyDescent="0.2">
      <c r="A1008" s="1"/>
      <c r="C1008" s="1"/>
    </row>
    <row r="1009" spans="1:3" ht="12.75" customHeight="1" x14ac:dyDescent="0.2">
      <c r="A1009" s="1"/>
      <c r="C1009" s="1"/>
    </row>
    <row r="1010" spans="1:3" ht="12.75" customHeight="1" x14ac:dyDescent="0.2">
      <c r="A1010" s="1"/>
      <c r="C1010" s="1"/>
    </row>
    <row r="1011" spans="1:3" ht="12.75" customHeight="1" x14ac:dyDescent="0.2">
      <c r="A1011" s="1"/>
      <c r="C1011" s="1"/>
    </row>
    <row r="1012" spans="1:3" ht="12.75" customHeight="1" x14ac:dyDescent="0.2">
      <c r="A1012" s="1"/>
      <c r="C1012" s="1"/>
    </row>
    <row r="1013" spans="1:3" ht="12.75" customHeight="1" x14ac:dyDescent="0.2">
      <c r="A1013" s="1"/>
      <c r="C1013" s="1"/>
    </row>
    <row r="1014" spans="1:3" ht="12.75" customHeight="1" x14ac:dyDescent="0.2">
      <c r="A1014" s="1"/>
      <c r="C1014" s="1"/>
    </row>
    <row r="1015" spans="1:3" ht="12.75" customHeight="1" x14ac:dyDescent="0.2">
      <c r="A1015" s="1"/>
      <c r="C1015" s="1"/>
    </row>
    <row r="1016" spans="1:3" ht="12.75" customHeight="1" x14ac:dyDescent="0.2">
      <c r="A1016" s="1"/>
      <c r="C1016" s="1"/>
    </row>
    <row r="1017" spans="1:3" ht="12.75" customHeight="1" x14ac:dyDescent="0.2">
      <c r="A1017" s="1"/>
      <c r="C1017" s="1"/>
    </row>
    <row r="1018" spans="1:3" ht="12.75" customHeight="1" x14ac:dyDescent="0.2">
      <c r="A1018" s="1"/>
      <c r="C1018" s="1"/>
    </row>
    <row r="1019" spans="1:3" ht="12.75" customHeight="1" x14ac:dyDescent="0.2">
      <c r="A1019" s="1"/>
      <c r="C1019" s="1"/>
    </row>
    <row r="1020" spans="1:3" ht="12.75" customHeight="1" x14ac:dyDescent="0.2">
      <c r="A1020" s="1"/>
      <c r="C1020" s="1"/>
    </row>
    <row r="1021" spans="1:3" ht="12.75" customHeight="1" x14ac:dyDescent="0.2">
      <c r="A1021" s="1"/>
      <c r="C1021" s="1"/>
    </row>
    <row r="1022" spans="1:3" ht="12.75" customHeight="1" x14ac:dyDescent="0.2">
      <c r="A1022" s="1"/>
      <c r="C1022" s="1"/>
    </row>
    <row r="1023" spans="1:3" ht="12.75" customHeight="1" x14ac:dyDescent="0.2">
      <c r="A1023" s="1"/>
      <c r="C1023" s="1"/>
    </row>
    <row r="1024" spans="1:3" ht="12.75" customHeight="1" x14ac:dyDescent="0.2">
      <c r="A1024" s="1"/>
      <c r="C1024" s="1"/>
    </row>
    <row r="1025" spans="1:3" ht="12.75" customHeight="1" x14ac:dyDescent="0.2">
      <c r="A1025" s="1"/>
      <c r="C1025" s="1"/>
    </row>
    <row r="1026" spans="1:3" ht="12.75" customHeight="1" x14ac:dyDescent="0.2">
      <c r="A1026" s="1"/>
      <c r="C1026" s="1"/>
    </row>
    <row r="1027" spans="1:3" ht="12.75" customHeight="1" x14ac:dyDescent="0.2">
      <c r="A1027" s="1"/>
      <c r="C1027" s="1"/>
    </row>
    <row r="1028" spans="1:3" ht="12.75" customHeight="1" x14ac:dyDescent="0.2">
      <c r="A1028" s="1"/>
      <c r="C1028" s="1"/>
    </row>
    <row r="1029" spans="1:3" ht="12.75" customHeight="1" x14ac:dyDescent="0.2">
      <c r="A1029" s="1"/>
      <c r="C1029" s="1"/>
    </row>
    <row r="1030" spans="1:3" ht="12.75" customHeight="1" x14ac:dyDescent="0.2">
      <c r="A1030" s="1"/>
      <c r="C1030" s="1"/>
    </row>
    <row r="1031" spans="1:3" ht="12.75" customHeight="1" x14ac:dyDescent="0.2">
      <c r="A1031" s="1"/>
      <c r="C1031" s="1"/>
    </row>
    <row r="1032" spans="1:3" ht="12.75" customHeight="1" x14ac:dyDescent="0.2">
      <c r="A1032" s="1"/>
      <c r="C1032" s="1"/>
    </row>
    <row r="1033" spans="1:3" ht="12.75" customHeight="1" x14ac:dyDescent="0.2">
      <c r="A1033" s="1"/>
      <c r="C1033" s="1"/>
    </row>
    <row r="1034" spans="1:3" ht="12.75" customHeight="1" x14ac:dyDescent="0.2">
      <c r="A1034" s="1"/>
      <c r="C1034" s="1"/>
    </row>
    <row r="1035" spans="1:3" ht="12.75" customHeight="1" x14ac:dyDescent="0.2">
      <c r="A1035" s="1"/>
      <c r="C1035" s="1"/>
    </row>
    <row r="1036" spans="1:3" ht="12.75" customHeight="1" x14ac:dyDescent="0.2">
      <c r="A1036" s="1"/>
      <c r="C1036" s="1"/>
    </row>
    <row r="1037" spans="1:3" ht="12.75" customHeight="1" x14ac:dyDescent="0.2">
      <c r="A1037" s="1"/>
      <c r="C1037" s="1"/>
    </row>
    <row r="1038" spans="1:3" ht="12.75" customHeight="1" x14ac:dyDescent="0.2">
      <c r="A1038" s="1"/>
      <c r="C1038" s="1"/>
    </row>
    <row r="1039" spans="1:3" ht="12.75" customHeight="1" x14ac:dyDescent="0.2">
      <c r="A1039" s="1"/>
      <c r="C1039" s="1"/>
    </row>
  </sheetData>
  <mergeCells count="20">
    <mergeCell ref="B21:J21"/>
    <mergeCell ref="B22:J22"/>
    <mergeCell ref="B23:J23"/>
    <mergeCell ref="B9:H9"/>
    <mergeCell ref="I10:J10"/>
    <mergeCell ref="A13:K13"/>
    <mergeCell ref="B14:J14"/>
    <mergeCell ref="B15:J15"/>
    <mergeCell ref="B16:J16"/>
    <mergeCell ref="B17:J17"/>
    <mergeCell ref="B7:H7"/>
    <mergeCell ref="B8:H8"/>
    <mergeCell ref="B18:J18"/>
    <mergeCell ref="B19:J19"/>
    <mergeCell ref="B20:J20"/>
    <mergeCell ref="A1:K1"/>
    <mergeCell ref="A3:K3"/>
    <mergeCell ref="B4:H4"/>
    <mergeCell ref="B5:H5"/>
    <mergeCell ref="B6:H6"/>
  </mergeCells>
  <hyperlinks>
    <hyperlink ref="G499" r:id="rId1" xr:uid="{00000000-0004-0000-0000-000000000000}"/>
  </hyperlinks>
  <pageMargins left="0.39000000000000007" right="0.39000000000000007" top="0.87" bottom="0.59" header="0" footer="0"/>
  <pageSetup paperSize="9" orientation="landscape" r:id="rId2"/>
  <headerFooter>
    <oddHeader>&amp;L&amp;"Calibri"&amp;10&amp;K000000Official (Closed) and Sensitive-Normal&amp;1#</oddHeader>
    <oddFooter>&amp;LSheet: &amp;A File: &amp;F&amp;CVersion:  Date: &amp;R&amp;P of</oddFooter>
  </headerFooter>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0"/>
  <sheetViews>
    <sheetView workbookViewId="0">
      <selection activeCell="D13" sqref="D13"/>
    </sheetView>
  </sheetViews>
  <sheetFormatPr defaultColWidth="12.5703125" defaultRowHeight="15" customHeight="1" x14ac:dyDescent="0.2"/>
  <cols>
    <col min="1" max="1" width="21.28515625" customWidth="1"/>
    <col min="2" max="2" width="28.7109375" customWidth="1"/>
    <col min="3" max="3" width="7.140625" customWidth="1"/>
    <col min="4" max="4" width="69.42578125" customWidth="1"/>
    <col min="5" max="26" width="8.85546875" customWidth="1"/>
  </cols>
  <sheetData>
    <row r="1" ht="12.75" customHeight="1" x14ac:dyDescent="0.2"/>
    <row r="2" ht="12.75" customHeight="1" x14ac:dyDescent="0.2"/>
    <row r="3" ht="12.75" customHeight="1" x14ac:dyDescent="0.2"/>
    <row r="4" ht="12.75" customHeight="1" x14ac:dyDescent="0.2"/>
    <row r="5" ht="12.75" customHeight="1" x14ac:dyDescent="0.2"/>
    <row r="6" ht="12.75" customHeight="1" x14ac:dyDescent="0.2"/>
    <row r="7" ht="12.75" customHeight="1" x14ac:dyDescent="0.2"/>
    <row r="8" ht="12.75" customHeight="1" x14ac:dyDescent="0.2"/>
    <row r="9" ht="12.75" customHeight="1" x14ac:dyDescent="0.2"/>
    <row r="10" ht="12.75" customHeight="1" x14ac:dyDescent="0.2"/>
    <row r="11" ht="12.75" customHeight="1" x14ac:dyDescent="0.2"/>
    <row r="12" ht="12.75" customHeight="1" x14ac:dyDescent="0.2"/>
    <row r="13" ht="12.75" customHeight="1" x14ac:dyDescent="0.2"/>
    <row r="14" ht="12.75" customHeight="1" x14ac:dyDescent="0.2"/>
    <row r="15" ht="12.75" customHeight="1" x14ac:dyDescent="0.2"/>
    <row r="16" ht="12.75" customHeight="1" x14ac:dyDescent="0.2"/>
    <row r="17" ht="12.75" customHeight="1" x14ac:dyDescent="0.2"/>
    <row r="18" ht="12.75" customHeight="1" x14ac:dyDescent="0.2"/>
    <row r="19" ht="12.75" customHeight="1" x14ac:dyDescent="0.2"/>
    <row r="20" ht="12.75" customHeight="1" x14ac:dyDescent="0.2"/>
    <row r="21" ht="12.75" customHeight="1" x14ac:dyDescent="0.2"/>
    <row r="22" ht="12.75" customHeight="1" x14ac:dyDescent="0.2"/>
    <row r="23" ht="12.75" customHeight="1" x14ac:dyDescent="0.2"/>
    <row r="24" ht="12.75" customHeight="1" x14ac:dyDescent="0.2"/>
    <row r="25" ht="12.75" customHeight="1" x14ac:dyDescent="0.2"/>
    <row r="26" ht="12.75" customHeight="1" x14ac:dyDescent="0.2"/>
    <row r="27" ht="12.75" customHeight="1" x14ac:dyDescent="0.2"/>
    <row r="28" ht="12.75" customHeight="1" x14ac:dyDescent="0.2"/>
    <row r="29" ht="12.75" customHeight="1" x14ac:dyDescent="0.2"/>
    <row r="30" ht="12.75" customHeight="1" x14ac:dyDescent="0.2"/>
    <row r="31" ht="12.75" customHeight="1" x14ac:dyDescent="0.2"/>
    <row r="32" ht="12.75" customHeight="1" x14ac:dyDescent="0.2"/>
    <row r="33" ht="12.75" customHeight="1" x14ac:dyDescent="0.2"/>
    <row r="34" ht="12.75" customHeight="1" x14ac:dyDescent="0.2"/>
    <row r="35" ht="12.75" customHeight="1" x14ac:dyDescent="0.2"/>
    <row r="36" ht="12.75" customHeight="1" x14ac:dyDescent="0.2"/>
    <row r="37" ht="12.75" customHeight="1" x14ac:dyDescent="0.2"/>
    <row r="38" ht="12.75" customHeight="1" x14ac:dyDescent="0.2"/>
    <row r="39" ht="12.75" customHeight="1" x14ac:dyDescent="0.2"/>
    <row r="40" ht="12.75" customHeight="1" x14ac:dyDescent="0.2"/>
    <row r="41" ht="12.75" customHeight="1" x14ac:dyDescent="0.2"/>
    <row r="42" ht="12.75" customHeight="1" x14ac:dyDescent="0.2"/>
    <row r="43" ht="12.75" customHeight="1" x14ac:dyDescent="0.2"/>
    <row r="44" ht="12.75" customHeight="1" x14ac:dyDescent="0.2"/>
    <row r="45" ht="12.75" customHeight="1" x14ac:dyDescent="0.2"/>
    <row r="46" ht="12.75" customHeight="1" x14ac:dyDescent="0.2"/>
    <row r="47" ht="12.75" customHeight="1" x14ac:dyDescent="0.2"/>
    <row r="48" ht="12.75" customHeight="1" x14ac:dyDescent="0.2"/>
    <row r="49" ht="12.75" customHeight="1" x14ac:dyDescent="0.2"/>
    <row r="50" ht="12.75" customHeight="1" x14ac:dyDescent="0.2"/>
    <row r="51" ht="12.75" customHeight="1" x14ac:dyDescent="0.2"/>
    <row r="52" ht="12.75" customHeight="1" x14ac:dyDescent="0.2"/>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row r="998" ht="12.75" customHeight="1" x14ac:dyDescent="0.2"/>
    <row r="999" ht="12.75" customHeight="1" x14ac:dyDescent="0.2"/>
    <row r="1000" ht="12.75" customHeight="1" x14ac:dyDescent="0.2"/>
  </sheetData>
  <pageMargins left="0.39000000000000007" right="0.39000000000000007" top="0.87" bottom="0.59" header="0" footer="0"/>
  <pageSetup paperSize="9" orientation="landscape" r:id="rId1"/>
  <headerFooter>
    <oddHeader>&amp;L&amp;"Calibri"&amp;10&amp;K000000Official (Closed) and Sensitive-Normal&amp;1#</oddHeader>
    <oddFooter>&amp;LSheet: &amp;A File: &amp;F&amp;CVersion:  Date: &amp;R&amp;P of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CIS Marking Scheme Import</vt:lpstr>
      <vt:lpstr>Calculations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Adam Walsh</dc:creator>
  <cp:lastModifiedBy>TVET Trainer (Ronald Alvarez)</cp:lastModifiedBy>
  <dcterms:created xsi:type="dcterms:W3CDTF">2010-04-27T04:25:00Z</dcterms:created>
  <dcterms:modified xsi:type="dcterms:W3CDTF">2023-08-03T10:46:05Z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990b6c4a-2c3e-4e80-8213-aa7256d4441d_Enabled">
    <vt:lpwstr>true</vt:lpwstr>
  </property>
  <property fmtid="{D5CDD505-2E9C-101B-9397-08002B2CF9AE}" pid="3" name="MSIP_Label_990b6c4a-2c3e-4e80-8213-aa7256d4441d_SetDate">
    <vt:lpwstr>2023-07-21T04:38:08Z</vt:lpwstr>
  </property>
  <property fmtid="{D5CDD505-2E9C-101B-9397-08002B2CF9AE}" pid="4" name="MSIP_Label_990b6c4a-2c3e-4e80-8213-aa7256d4441d_Method">
    <vt:lpwstr>Privileged</vt:lpwstr>
  </property>
  <property fmtid="{D5CDD505-2E9C-101B-9397-08002B2CF9AE}" pid="5" name="MSIP_Label_990b6c4a-2c3e-4e80-8213-aa7256d4441d_Name">
    <vt:lpwstr>SENSITIVE-NORMAL_0</vt:lpwstr>
  </property>
  <property fmtid="{D5CDD505-2E9C-101B-9397-08002B2CF9AE}" pid="6" name="MSIP_Label_990b6c4a-2c3e-4e80-8213-aa7256d4441d_SiteId">
    <vt:lpwstr>243ebaed-00d0-4690-a7dc-75893b0d9f98</vt:lpwstr>
  </property>
  <property fmtid="{D5CDD505-2E9C-101B-9397-08002B2CF9AE}" pid="7" name="MSIP_Label_990b6c4a-2c3e-4e80-8213-aa7256d4441d_ActionId">
    <vt:lpwstr>ddf27816-cdf2-4f30-a9c1-f089c5a01908</vt:lpwstr>
  </property>
  <property fmtid="{D5CDD505-2E9C-101B-9397-08002B2CF9AE}" pid="8" name="MSIP_Label_990b6c4a-2c3e-4e80-8213-aa7256d4441d_ContentBits">
    <vt:lpwstr>1</vt:lpwstr>
  </property>
</Properties>
</file>