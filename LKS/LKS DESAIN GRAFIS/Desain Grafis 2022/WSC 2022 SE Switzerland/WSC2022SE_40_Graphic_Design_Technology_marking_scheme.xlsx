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13"/>
  <workbookPr autoCompressPictures="0"/>
  <mc:AlternateContent>
    <mc:Choice Requires="x15">
      <x15ac:absPath xmlns:x15ac="http://schemas.microsoft.com/office/spreadsheetml/2010/11/ac" url="/Users/adam/git/CIS/src/main/resources/org/worldskills/cis/service/skill/"/>
    </mc:Choice>
  </mc:AlternateContent>
  <xr:revisionPtr revIDLastSave="0" documentId="13_ncr:1_{9CE4662E-C534-7A48-8AC9-72D297A8977A}" xr6:coauthVersionLast="47" xr6:coauthVersionMax="47" xr10:uidLastSave="{00000000-0000-0000-0000-000000000000}"/>
  <bookViews>
    <workbookView xWindow="15580" yWindow="-26720" windowWidth="28040" windowHeight="17440" xr2:uid="{00000000-000D-0000-FFFF-FFFF00000000}"/>
  </bookViews>
  <sheets>
    <sheet name="CIS Marking Scheme Import" sheetId="1" r:id="rId1"/>
    <sheet name="Calculations" sheetId="6" r:id="rId2"/>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mx="http://schemas.microsoft.com/office/mac/excel/2008/main" uri="{7523E5D3-25F3-A5E0-1632-64F254C22452}">
      <mx:ArchID Flags="2"/>
    </ext>
  </extLst>
</workbook>
</file>

<file path=xl/sharedStrings.xml><?xml version="1.0" encoding="utf-8"?>
<sst xmlns="http://schemas.openxmlformats.org/spreadsheetml/2006/main" count="3055" uniqueCount="497">
  <si>
    <t>Mark</t>
  </si>
  <si>
    <t>Aspect - Description</t>
  </si>
  <si>
    <t>Judg Score</t>
  </si>
  <si>
    <t>Max
Mark</t>
  </si>
  <si>
    <t>Total
Mark</t>
  </si>
  <si>
    <t>Competition</t>
  </si>
  <si>
    <t>Aspect
Type
M = Meas
J = Judg</t>
  </si>
  <si>
    <t>Criterion A</t>
  </si>
  <si>
    <t>Extra Aspect Description (Meas or Judg)
OR
Judgement Score Description (Judg only)</t>
  </si>
  <si>
    <t>Requirement
(Measurement Only)</t>
  </si>
  <si>
    <t>Day of Marking</t>
  </si>
  <si>
    <t>Calculation Row 
(Export only)</t>
  </si>
  <si>
    <t>Section</t>
  </si>
  <si>
    <t>Name</t>
  </si>
  <si>
    <t>Aspect Marks</t>
  </si>
  <si>
    <t>Sub
Criterion
ID</t>
  </si>
  <si>
    <t>Sub Criterion
Name or Description</t>
  </si>
  <si>
    <t>Criteria</t>
  </si>
  <si>
    <t>Variation</t>
  </si>
  <si>
    <t>ID</t>
  </si>
  <si>
    <t>Total Variation</t>
  </si>
  <si>
    <t>WorldSkills Occupational Standards</t>
  </si>
  <si>
    <t>WSOS Marks</t>
  </si>
  <si>
    <t>WSOS Section</t>
  </si>
  <si>
    <t>40 Graphic Design Technology</t>
  </si>
  <si>
    <t>Work organization and management</t>
  </si>
  <si>
    <t>Communication and interpersonal skills</t>
  </si>
  <si>
    <t>Problem solving</t>
  </si>
  <si>
    <t>Innovation, creativity, and design</t>
  </si>
  <si>
    <t>Technical aspects and output</t>
  </si>
  <si>
    <t>A</t>
  </si>
  <si>
    <t>Day 1: Corporate Design</t>
  </si>
  <si>
    <t>B</t>
  </si>
  <si>
    <t>Day 2: Packaging Design</t>
  </si>
  <si>
    <t>C</t>
  </si>
  <si>
    <t>Day 3: Editorial Design</t>
  </si>
  <si>
    <t>D</t>
  </si>
  <si>
    <t>Day 4: Display Design</t>
  </si>
  <si>
    <t>E</t>
  </si>
  <si>
    <t>F</t>
  </si>
  <si>
    <t>G</t>
  </si>
  <si>
    <t>H</t>
  </si>
  <si>
    <t>I</t>
  </si>
  <si>
    <t>A1</t>
  </si>
  <si>
    <t>Day 1 Sub Criterion 1 Creative Process</t>
  </si>
  <si>
    <t/>
  </si>
  <si>
    <t>1</t>
  </si>
  <si>
    <t>J</t>
  </si>
  <si>
    <t>Task 1: Quality of the typographic Design - choice of type, legibility and formatting</t>
  </si>
  <si>
    <t>Typography is poor, Type choice, sizing, leading, spacing, kerning, matching are not well considered, or are not effective</t>
  </si>
  <si>
    <t>Typography is acceptable. Some of the following have been considered: Type choice, sizing, leading, spacing, kerning, matching</t>
  </si>
  <si>
    <t>Typography is of high quality. Type choice, sizing, leading, spacing, kerning, matching are considered</t>
  </si>
  <si>
    <t>Typography is exceptional. Type choice, sizing, leading, spacing, kerning, matching is all very well considered to an excellent standard</t>
  </si>
  <si>
    <t>Task 1: Hierarchy following the brief: 1) PMNCH 2) for 3) Women’s, Children’s and Adolescents’ Health</t>
  </si>
  <si>
    <t>not following the brief in step 1,2 and 3</t>
  </si>
  <si>
    <t>the hierarchy is in some way appropriate to the brief</t>
  </si>
  <si>
    <t>Hierarchy is implemented and follows the brief</t>
  </si>
  <si>
    <t>Hierarchy is creatively implemented in corresponds to the needs of the customer</t>
  </si>
  <si>
    <t>Task 2: Effective and creative Illustration and composition along with the Logo from Task 1. Allowing change of colour and position elements from Task 1</t>
  </si>
  <si>
    <t>Illustrations lacking creativity (example: unrecognisable characters and poor quality) no connection with logo from Task 1</t>
  </si>
  <si>
    <t>somewhat creative illustration. Characters are well chosen. Good arrangement with Typography</t>
  </si>
  <si>
    <t>creative illustration they may show some innovation. Characters are well chosen and arranged very good with Typography from Task 1</t>
  </si>
  <si>
    <t>very creative illustrations. Imaginative and highly innovative. Including  arrangement of the logo from Task 1</t>
  </si>
  <si>
    <t>A2</t>
  </si>
  <si>
    <t>Day 1 Sub Criterion 2 Final Design</t>
  </si>
  <si>
    <t>Task 2: Functionality and usability of the conversion to black and white.</t>
  </si>
  <si>
    <t>poor functionality and usability of the B/W Logos</t>
  </si>
  <si>
    <t>acceptable (could be presented to a client) functionality of the B/W Logo. But lacking some Design Elements</t>
  </si>
  <si>
    <t>creative, functionality, Design includes additional elements to improve the effect</t>
  </si>
  <si>
    <t>contain very creative aspects. The design includes additional elements to enhance the effect and to harmonise and strengthen the graphic dynamics</t>
  </si>
  <si>
    <t>Task 2: The drawing contains integrative elements and shows diversity</t>
  </si>
  <si>
    <t>No integrative elements present and little representation of diversity</t>
  </si>
  <si>
    <t>Integrative elements present but little representation of diversity</t>
  </si>
  <si>
    <t>Different integrative elements present and clear representation of diversity</t>
  </si>
  <si>
    <t>Eindeutige integrativen Elemente vorhanden und sehr klare Darstellung der Vielfalt</t>
  </si>
  <si>
    <t>Task 3: Post A - Effective use of visual composition including typography</t>
  </si>
  <si>
    <t>Poor image selection, wrong timing, hardly readable due to an unsuitable font</t>
  </si>
  <si>
    <t>Readable and gets the message across. Standard animation without great highlights</t>
  </si>
  <si>
    <t>Kurzweilige animation, good timing und schöne Bildauswahl, good font selection</t>
  </si>
  <si>
    <t>Excellent animation with beautiful and very appropriate images.The message becomes clear and concise</t>
  </si>
  <si>
    <t>Task 3: Post B - Effective use of visual composition including typography</t>
  </si>
  <si>
    <t>A3</t>
  </si>
  <si>
    <t>Day 1 Sub Criterion 3 Software and Hardware</t>
  </si>
  <si>
    <t>M</t>
  </si>
  <si>
    <t>Task 1: All required text is present in the task</t>
  </si>
  <si>
    <t>PMNCH for Women’s, Children’s and Adolescents’ Health</t>
  </si>
  <si>
    <t>Task 1: Colour mode and RGB applied</t>
  </si>
  <si>
    <t>1 × SPOT-Colour: RGB (40, 0, 30) – no gradients, 100 % &gt;&gt; in orig. Software</t>
  </si>
  <si>
    <t>Task 1: Logo and Artboard dimensions &gt;&gt; orig. file check</t>
  </si>
  <si>
    <t>•	Artboard size:  19 × 18 cm (landscape)
•	Dimensions of the Logo: 150 mm at the longest edge (wide or high)</t>
  </si>
  <si>
    <t>Task 1: Timely submission of the logo</t>
  </si>
  <si>
    <t>within 2 hours after the competition start</t>
  </si>
  <si>
    <t>A4</t>
  </si>
  <si>
    <t>Day 1 Sub Criterion 4 Visual Presentation</t>
  </si>
  <si>
    <t>Task 2: New design that differs from the original.</t>
  </si>
  <si>
    <t>Too similar to the original and lacking creativity</t>
  </si>
  <si>
    <t>Little different approach to the original</t>
  </si>
  <si>
    <t>Different innovative approach.</t>
  </si>
  <si>
    <t>very creative, and clearly a new design for the logo</t>
  </si>
  <si>
    <t>Task 1: Quality of the mounted presentations: Black board and name tag</t>
  </si>
  <si>
    <t>poor quality and has not been cut well, may be messy, not fully completed, or may not be correctly put together</t>
  </si>
  <si>
    <t>acceptable (could be presented to a client) is generally cut well and stuck together well and fairly clean</t>
  </si>
  <si>
    <t>cut well, clean, facing correctly and stuck together</t>
  </si>
  <si>
    <t>an exceptional standard, cut and folded very well, clean, facing correctly and stuck together</t>
  </si>
  <si>
    <t>Task 2: Quality of the mounted presentations and the printouts</t>
  </si>
  <si>
    <t>cut and glued well, clean, facing correctly and stuck together</t>
  </si>
  <si>
    <t>an exceptional standard, cut and glued very well, clean, facing correctly and stuck together</t>
  </si>
  <si>
    <t>A5</t>
  </si>
  <si>
    <t>Day 1 Sub Criterion 5 Knowledge of Prepress</t>
  </si>
  <si>
    <t>Task 2: Printouts in the correct size and logo in the header</t>
  </si>
  <si>
    <t>•	the logo on a 20 × 20 cm sheet 
•	the logo in the header of the company website</t>
  </si>
  <si>
    <t>Task 2: A4 and A3 printout present</t>
  </si>
  <si>
    <t>•	1 × A4 Format: Your colour logo reduced to fit on A4 (Artboard size in Task 1) with trim marks and colour bars only 
•	1 × A3 Format: Place the finished logo three (3) times on an A3 (colour, positive and negative B/W). On this print, the colour logo should play the main role. The black and white logos are of secondary importance.</t>
  </si>
  <si>
    <t>Task 2: Trapping value applied in Illustrations</t>
  </si>
  <si>
    <t>Trapping: 0.40 pt exactly</t>
  </si>
  <si>
    <t>Task 3: All required text is present</t>
  </si>
  <si>
    <t>Post A
Screen 1 text: Adolescent girls face elevated risk of gender-based violence in humanitarian settings
Screen 2 text: Up to ⅓ of girls report their first encounter was forced
Post B
Screen 1 text: About 21% of displaced women are estimated to have experienced sexual violence
Screen 2 text: but this number might underestimate the scale of the problem 
Screen 3 text: because of poor law enforcement systems, inadequate services and social stigma</t>
  </si>
  <si>
    <t>Task 2: Logo in Black color present</t>
  </si>
  <si>
    <t>1 Version of the logo in Black colour. Gradients allowed.</t>
  </si>
  <si>
    <t>A6</t>
  </si>
  <si>
    <t>Day 1 Sub Criterion 6 Integration of Digital Media</t>
  </si>
  <si>
    <t>Task 3: Format of the media post</t>
  </si>
  <si>
    <t>4:5 aspect ratio with dimensions 1080px wide by 1350px tall</t>
  </si>
  <si>
    <t>Task 3: Resolution of media post and frames per second</t>
  </si>
  <si>
    <t>•	Resolution: HD or 1080p
•	30 fps</t>
  </si>
  <si>
    <t>Task 3: duration Post A and Post B</t>
  </si>
  <si>
    <t>•	A with a duration between 20 to 25 seconds
•	B with a duration between 30 to 35 seconds</t>
  </si>
  <si>
    <t>Task 3: Final file format as specified</t>
  </si>
  <si>
    <t>•	A in MP4 File format Video Codec 
•	B in MOV File format</t>
  </si>
  <si>
    <t>Task 3: Resolution of Thumbnail of your video</t>
  </si>
  <si>
    <t>in .png format in 540 x 675 px</t>
  </si>
  <si>
    <t>A71</t>
  </si>
  <si>
    <t>Day 1 Sub Criterion 7-1 Saving and File Format</t>
  </si>
  <si>
    <t>Task 1: ICC Profile applied</t>
  </si>
  <si>
    <t>ICC Colour Profile: Coated GRACoL2006 in the PDF</t>
  </si>
  <si>
    <t>Task 1: 2 x digital Document ready in the folder</t>
  </si>
  <si>
    <t>•	1 × document: .INDD or .AI format of your logo only vector</t>
  </si>
  <si>
    <t>Task 1: Saving in a specified PDF format as required</t>
  </si>
  <si>
    <t>1 × PDF/X-3:2003 – Trim Marks on 2 mm offset only</t>
  </si>
  <si>
    <t>Task 1: 1 x A3 printout present</t>
  </si>
  <si>
    <t>Print your typographic logo (wordmark) design on A3 – format showing two sizes of the logo. One large size (see Produce: technical specifications) and the second size exactly 5 cm at the longest edge (wide or high).</t>
  </si>
  <si>
    <t>A72</t>
  </si>
  <si>
    <t>Day 1 Sub Criterion 7-2 Saving and File Format</t>
  </si>
  <si>
    <t>Task 2: editable Document present</t>
  </si>
  <si>
    <t>1 × editable document: .INDD or .AI format</t>
  </si>
  <si>
    <t>Task 2: Saving in a specified PDF format as required</t>
  </si>
  <si>
    <t>1 × PDF/X-4:2010 –  ICC Profile included but no print marks</t>
  </si>
  <si>
    <t>Task 2: Colour mode in the applied software only CMYK and ICC profile applied</t>
  </si>
  <si>
    <t>To check in the applied software
•	only CMYK Colour .No spot colour present in the colour swatches
•	ICC Colour Profile: PSOuncoated_v3_FOGRA52</t>
  </si>
  <si>
    <t>all Task: File structure as required</t>
  </si>
  <si>
    <t>Task 3: Animation naming and structure as specified</t>
  </si>
  <si>
    <t>“YY-Instagram-Post-A” and “YY-Instagram-Post-B”</t>
  </si>
  <si>
    <t>Criterion B</t>
  </si>
  <si>
    <t>B2</t>
  </si>
  <si>
    <t>Day 2 Sub Criterion 2 Final Design</t>
  </si>
  <si>
    <t>2</t>
  </si>
  <si>
    <t>Task 3: Use and visual composition of images</t>
  </si>
  <si>
    <t>either not applied or lacking creativity (example: a 'cut and paste', without consideration for design enhancement)</t>
  </si>
  <si>
    <t>somewhat creative. Images are well chosen and arranged, may show some innovation</t>
  </si>
  <si>
    <t>creative, imaginative and innovative, may include use of additional elements</t>
  </si>
  <si>
    <t>very creative aspects included. Imaginative and highly innovative (including use of additional elements) to harmonize and enhance dynamics</t>
  </si>
  <si>
    <t>B3</t>
  </si>
  <si>
    <t>Day 2 Sub Criterion 3 Software and Hardware</t>
  </si>
  <si>
    <t>Task 2: all required elements present</t>
  </si>
  <si>
    <t>• Company logo by Onewave (wordmark + icon of your design from Task 1)
• Wordmarks “Wavebeat” and “Waveboost” 
• TEXT provided
• ICON FSC
• ICON RECYCLE
• The client has specified that the background of your package must not be white.</t>
  </si>
  <si>
    <t>Task 2:Final resolution of images as specified</t>
  </si>
  <si>
    <t>•	Greyscale and colour image resolution: 144 ppi (+/- 5 px) 
•	Raster images JPG format only</t>
  </si>
  <si>
    <t>Task 2: printout reduced to fit on A3</t>
  </si>
  <si>
    <t>•	One colour printout, reduced to fit on A3 with bleed, including die line. Ensure that you include your competitor number on the table top, outside the artwork area.</t>
  </si>
  <si>
    <t>Task 3: Colour mode of linked images</t>
  </si>
  <si>
    <t>•	Use only two Pantone uncoated colours + Black. Colour swatches must be labelled accordingly. 
•	Greyscale and colour image resolution: 180 ppi</t>
  </si>
  <si>
    <t>Task 3: All required text is present in the task</t>
  </si>
  <si>
    <t>as specified</t>
  </si>
  <si>
    <t>B5</t>
  </si>
  <si>
    <t>Day 2 Sub Criterion 5 Knowledge of Prepress</t>
  </si>
  <si>
    <t>Task 1: One of the graphic elements on each sticker must bleed off</t>
  </si>
  <si>
    <t>as specifed</t>
  </si>
  <si>
    <t>Task 1: Wordsystem elements only vector</t>
  </si>
  <si>
    <t>Task 2: ICON Logo 100% Black</t>
  </si>
  <si>
    <t>•	Both ICON logos must be 100% colour. No Gradient nor transparency permitted</t>
  </si>
  <si>
    <t>B6</t>
  </si>
  <si>
    <t>Day 2 Sub Criterion 6 Integration of Digital Media</t>
  </si>
  <si>
    <t>Task 3: Production of QR-Code</t>
  </si>
  <si>
    <t>•	QR-Code only 100% Black and 25 mm in size (from edge to edge of the black part)
•	Generate and include the QR-Code from https://onewave.agency/en/download-app/</t>
  </si>
  <si>
    <t>B7</t>
  </si>
  <si>
    <t>Day 2 Sub Criterion 7 Saving and File Format</t>
  </si>
  <si>
    <t>Task 1: Final production folder saved as required</t>
  </si>
  <si>
    <t>• Original InDesign or Illustrator Document with both Sticker-Designs on one (1) Artboard.</t>
  </si>
  <si>
    <t>•	One final PDF/X-4:2008 file: including die line, colour bars and registration marks</t>
  </si>
  <si>
    <t>All Task: File structure follows the brief</t>
  </si>
  <si>
    <t>Create a folder on your desktop called YY_Name-of-TP_DAY_Z , where YY represents the number of your workstation. “Name of TP” represents one of the 4 Test Projects (e.c. Corporate Design, Packaging,…) and Z the day of competition ( 1 to 4 ).  The name of the folder does not contain any blanks.
All working, final and packaged files must be included in this folder.  There is no other File or Folder on your Desktop.</t>
  </si>
  <si>
    <t>Task 3: Saving in a specified PDF format as required</t>
  </si>
  <si>
    <t>•	One final composite PDF/X-3:2002 file (including bleed, colour bars, crop marks and fold lines). Place your fold lines outside the bleed area in one of the used Pantone uncoated colours.</t>
  </si>
  <si>
    <t>Task 2: Final production Folder for print</t>
  </si>
  <si>
    <t>•	Provide a packaged Adobe InDesign or Illustrator folder for submission that includes all fonts and links used.</t>
  </si>
  <si>
    <t>Task 1: Saving in a specified PDF format</t>
  </si>
  <si>
    <t>• One PDF/X-3:2002 in A4 format with your wordmark system (3 names) 
• One PDF/X-3:2002 in A4 format with bleed and die line of both sticker designs (2). No extra print marks.</t>
  </si>
  <si>
    <t>Task 3: Final production folder saved as required</t>
  </si>
  <si>
    <t>B11</t>
  </si>
  <si>
    <t>Day 2 Sub Criterion 1.1 Creative Process</t>
  </si>
  <si>
    <t>Task 1: 3 x Wordmark: Quality of the typographic Design - choice of type, legibility and formatting</t>
  </si>
  <si>
    <t>Typography is poor. Type choice, sizing, leading, spacing, kerning, matching are not well considerd, or are not effective.</t>
  </si>
  <si>
    <t>Task 1B) Design and shape (Dieline) of the stickers for the measuring device and for the ginger shot bottles.</t>
  </si>
  <si>
    <t>shape for the both sticker are not appropriate and to standard</t>
  </si>
  <si>
    <t>shape for the both sticker are appropriate (some aspects goes beyond default formats)</t>
  </si>
  <si>
    <t>shape for the both sticker are well suited and enhance the general design and goes beyond default formats</t>
  </si>
  <si>
    <t>shape for the both sticker are highly suitable and enhance the overall design significantly and goes well beyond default formats</t>
  </si>
  <si>
    <t>Task 2: Ideas and originality for the design related to the target market</t>
  </si>
  <si>
    <t>Package: unoriginal, lacks creativity related to the target market</t>
  </si>
  <si>
    <t>Package: some creativity and expression related to the target market</t>
  </si>
  <si>
    <t>Package: creative, imaginative and innovative related to the target market</t>
  </si>
  <si>
    <t>Package: very creative and imaginative and highly innovative related to the target market(including use of additional elements)</t>
  </si>
  <si>
    <t>All Task: Unity and relationship</t>
  </si>
  <si>
    <t>Elements are not unified and are lacking cohesion between one another</t>
  </si>
  <si>
    <t>Most elements are unified, with cohesion between one another</t>
  </si>
  <si>
    <t>Elements are unified, with cohesion between one another</t>
  </si>
  <si>
    <t>Elements are unified, with clear cohesion between one another and enhance the overall strength of the brand</t>
  </si>
  <si>
    <t>Task 3: Folding functionality, practicality and usability</t>
  </si>
  <si>
    <t>Folding is not creative (basic fold lines)</t>
  </si>
  <si>
    <t>Folding is somewhat creative (just above basic)</t>
  </si>
  <si>
    <t>Folding is creative and appropriate for the design</t>
  </si>
  <si>
    <t>Folding is very creative and increases the overall effectiveness significantly</t>
  </si>
  <si>
    <t>Task 1:A) and B) Design of Wordmark and Sticker as unity: Quality of the visual composition (aesthetic appeal and balance) Wordmark, Icon, Shape</t>
  </si>
  <si>
    <t>Choice and pairing of typefaces and Icon are not appropriate</t>
  </si>
  <si>
    <t>Choice and pairing of typefaces and Icon are appropriate (some aspects are appropriate)</t>
  </si>
  <si>
    <t>Choice and pairing of typefaces and Icon are well suited and enhance the design</t>
  </si>
  <si>
    <t>Choice and pairing of typefaces and Icon are highly suitable and enhance the overall design significantly</t>
  </si>
  <si>
    <t>B12</t>
  </si>
  <si>
    <t>Day 2 Sub Criterion 1.2 Creative Process</t>
  </si>
  <si>
    <t>Task 2: Package - Dieline creativity</t>
  </si>
  <si>
    <t>Task 2: Dieline is not creative (basic dieline)</t>
  </si>
  <si>
    <t>Task 2: Dieline is somewhat creative (just above basic)</t>
  </si>
  <si>
    <t>Task 2: Dieline is creative and appropriate for the design (shows additional elements and/or unusual shapes)</t>
  </si>
  <si>
    <t>Task 2: Dieline is very creative and increases the overall effectiveness significantly</t>
  </si>
  <si>
    <t>Task 3: Typographic Hierarchy and spacing is practical and appropriate (excluding Wordmark design)</t>
  </si>
  <si>
    <t>minimal or no hierarchy to identify the level of importance of information</t>
  </si>
  <si>
    <t>some hierarchy to identify the level of importance of informations, spacing acceptable between typographic elements</t>
  </si>
  <si>
    <t>clear hierarchy of importance of information can be identified, spacing appropriate between typographic elements</t>
  </si>
  <si>
    <t>Hierarchy is well considered and apparent, distinct importance of information easily identified, spacing highly suitable for type size/type elements</t>
  </si>
  <si>
    <t>Task 2: Typographic Hierarchy and spacing is practical and appropriate (excluding logo design) related to the target market</t>
  </si>
  <si>
    <t>Choice and pairing of typefaces are not appropriate to target market</t>
  </si>
  <si>
    <t>Choice and pairing of typefaces are appropriate to target market (some aspects are appropriate)</t>
  </si>
  <si>
    <t>Choice and pairing of typefaces are well suited and enhance the design for the target market</t>
  </si>
  <si>
    <t>Choice and pairing of typefaces are highly suitable and enhance the overall design significantly for the target market</t>
  </si>
  <si>
    <t>B41</t>
  </si>
  <si>
    <t>Day 2 Sub Criterion 4.1 Visual Presentation</t>
  </si>
  <si>
    <t>Task 1: Timely submission of Task 1</t>
  </si>
  <si>
    <t>2 hours after Competition start: Stick your cut-out label in original size on the provided presentation board (black, format A4). And in addition, the two bottles are to be labelled with the sticker.</t>
  </si>
  <si>
    <t>Task 1: Colour mode of the both stickers and Wordmark</t>
  </si>
  <si>
    <t>• Pantone solid uncoated colour – can differ between the three wordmarks, but only use one (1) colour per wordmark
• Colour: max 3 Pantone colours + die line colour used for your design. Colours can vary between the two stickers but must be properly named.</t>
  </si>
  <si>
    <t>Task 1: Supply of printouts</t>
  </si>
  <si>
    <t>• One A3 landscape print representing both stickers (2) on 300% of its original size. 
• Company logo by Onewave and the two wordmarks, with each of them exactly 10 cm at its largest size. Choose the paper size yourself.</t>
  </si>
  <si>
    <t>Task 1: Technical specifications wordmark and both Sticker to check in the open digital File</t>
  </si>
  <si>
    <t>• Bleed: 2 mm
• Size: Your choice but it should not overlap on the product
• Die line 0,25 pt max 
• One of the graphic elements on each sticker must bleed off</t>
  </si>
  <si>
    <t>B42</t>
  </si>
  <si>
    <t>Day 2 Sub Criterion 4.2 Visual Presentation</t>
  </si>
  <si>
    <t>Task 2: Spec for die line: Colour mode, Layers, Line and Names</t>
  </si>
  <si>
    <t>•	Colours: CMYK + 3 different spot colours for die line types
•	Separate layer for each die line type and separate colours for each of them: respectively call layers and colour swatches “Cut lines”, “Fold lines”, “Glue dots”
•	Only three areas with some glue dots are allowed
•	Lines of die line 0,5 pt exactly</t>
  </si>
  <si>
    <t>Task 2: Dieline supplied and Bleed 3 mm</t>
  </si>
  <si>
    <t>•	Bleed for die line: 3 mm
•	Dieline is set on overprint</t>
  </si>
  <si>
    <t>Task 3: printout all Task present</t>
  </si>
  <si>
    <t>•	One double sided printout at 100%, with bleed, crop marks and fold lines only.</t>
  </si>
  <si>
    <t>cut and folded well, clean, facing correctly and stuck together</t>
  </si>
  <si>
    <t>Task 3: Quality of the mounted presentations and the printout</t>
  </si>
  <si>
    <t>poor quality and has not been cut well, may be messy, not fully completed or can not be placed inside the packaging</t>
  </si>
  <si>
    <t>acceptable (could be presented to a client) is generally cut well and fairly clean. Can be placed inside the Pack</t>
  </si>
  <si>
    <t>cut and folded well, clean and fit perfect into the Pack</t>
  </si>
  <si>
    <t>an exceptional standard, cut and folded very well, clean and fitting perfect inside the Pack</t>
  </si>
  <si>
    <t>Criterion C</t>
  </si>
  <si>
    <t>C1</t>
  </si>
  <si>
    <t>Day 3 Sub Criterion 1 Creative Process</t>
  </si>
  <si>
    <t>3</t>
  </si>
  <si>
    <t>Task 1: Ideas and combination of the die line with elements on the inside of the flap.</t>
  </si>
  <si>
    <t>Die line showcase minimal creativity, is not distinct enough. Unable to understand and identify the combination with the flap.</t>
  </si>
  <si>
    <t>Die line is not very creative, but is somewhat distinct enough to be memorable. Good enough combination with the flap.</t>
  </si>
  <si>
    <t>Die line is creative, distinct enough to be memorable, easy to understand and identify. Clear combination with the flap.</t>
  </si>
  <si>
    <t>Die line is highly creative, existing influences are not apparent, feels fresh, new and distinct enough to be memorable. Easy to understand and identify the combination with the flap.</t>
  </si>
  <si>
    <t>C4</t>
  </si>
  <si>
    <t>Day 3 Sub Criterion 4 Visual Presentation</t>
  </si>
  <si>
    <t>within 12 am</t>
  </si>
  <si>
    <t>Task 1: printout A3 of</t>
  </si>
  <si>
    <t>1 x A3 printout of the back cover, front cover, and cover flap outside as spreads, with bleed, crop and fold marks and die line ONLY.</t>
  </si>
  <si>
    <t>Task 2: 1x A3 printout ready</t>
  </si>
  <si>
    <t>1x A3 printout only with page 14 and Back Cover Inside as spreads with bleed, crop marks and fold marks. No flap page.</t>
  </si>
  <si>
    <t>Task 3: 1 x interactive PDF for the client</t>
  </si>
  <si>
    <t>interactive PDF view "Fit on Page" and to open the presentation in "Full Screen Mode"</t>
  </si>
  <si>
    <t>C5</t>
  </si>
  <si>
    <t>Day 3 Sub Criterion 5 Knowledge of Prepress</t>
  </si>
  <si>
    <t>Task 2: Bleed as specified in the Task</t>
  </si>
  <si>
    <t>no inner (inside) Bleed</t>
  </si>
  <si>
    <t>Task 2: Colour mode in Layout and ICC profile applied</t>
  </si>
  <si>
    <t>•	Colour: cmyk + PANTONE 285 U the colour of "target no. 14" must be used and included in the layout  
•	Colour profile: Uncoated Fogra29</t>
  </si>
  <si>
    <t>Task 2: Saving PDF/X-3:2002 as required</t>
  </si>
  <si>
    <t>1x print ready PDF/X-3:2002 with the inside pages as single pages with cropmarks and bleed</t>
  </si>
  <si>
    <t>Task 3: Bleed as specified in the Task</t>
  </si>
  <si>
    <t>No Bleed</t>
  </si>
  <si>
    <t>C6</t>
  </si>
  <si>
    <t>Day 3 Sub Criterion 6 Integration of Digital Media</t>
  </si>
  <si>
    <t>Task 3: Correct naming of alternative Layout</t>
  </si>
  <si>
    <t>Name for vertical layout: "iPAD P" - Name for horizontal layout: "iPAD L"</t>
  </si>
  <si>
    <t>Task 3: Liquid Layout Rules</t>
  </si>
  <si>
    <t>•	Liquid layout rules: guide based
•	Maintain Links between alternative layouts</t>
  </si>
  <si>
    <t>C7</t>
  </si>
  <si>
    <t>Day 3 Sub Criterion 7.Saving and File Format</t>
  </si>
  <si>
    <t>Task All: File structure follows the brief</t>
  </si>
  <si>
    <t>e.g. : 06_Corporate-Design_DAY_3
&gt;&gt; All final and packaged files must be included in the “Task n” folder. e.g.: Task 1, Task 2, Task 3</t>
  </si>
  <si>
    <t>Task 2: Page dimensions and naming</t>
  </si>
  <si>
    <t>•	Size of cover (closed format): 16 x 27 cm
•	File name: YY_Conference-Booklet-INNER.indd (YY represents the number of your workstation)</t>
  </si>
  <si>
    <t>Task 2: Final production folder saved as required</t>
  </si>
  <si>
    <t>1x collected folder ready for print (complete). The INDD Document in this folder will be assessed.</t>
  </si>
  <si>
    <t>C21</t>
  </si>
  <si>
    <t>Day 3 Sub Criterion 2.1 Final Design</t>
  </si>
  <si>
    <t>Task 1: Creativity of the Cover and appropriateness to target market</t>
  </si>
  <si>
    <t>visual composition and aesthetics are poor and not appropriate to target market</t>
  </si>
  <si>
    <t>visual composition and aesthetics are sufficient and some aspects align to target market</t>
  </si>
  <si>
    <t>composition is aesthetically pleasing and appropriate for target market well balanced between typography and colours</t>
  </si>
  <si>
    <t>very aesthetically pleasing and highly appropriate for target market in all aspects</t>
  </si>
  <si>
    <t>Task 1: Quality of the typographic Design - choice of type, legibility and formatting. Focus on all pages - less the first cover page.</t>
  </si>
  <si>
    <t>Typography is acceptable. Some of the following have been considered: Type choice, sizing, leading, spacing, kerning, matching merely considered</t>
  </si>
  <si>
    <t>Typography is exceptional. Type choice, sizing, leading, spacing, kerning, matching is all very well considered</t>
  </si>
  <si>
    <t>Task 1: Photo Page creativity and relationship with the quote</t>
  </si>
  <si>
    <t>The aesthetics of the photo page are poor, lack creativity and have minimal reference to the quote</t>
  </si>
  <si>
    <t>The Photo page is generally aesthetically pleasing, with some creativity and reference to the quote</t>
  </si>
  <si>
    <t>The aesthetics of the photo page are good, creative and the reference to the quote is meaningful</t>
  </si>
  <si>
    <t>The aesthetics of the photo page is very pleasing, highly creative with an effective reference to the quote</t>
  </si>
  <si>
    <t>Task 2: Quality of timetable for the conference</t>
  </si>
  <si>
    <t>Timetable is not formatted in a table with singular cells. Very little or no effort is made to enhanced the information thus resulting in an unimpressive and boring design.</t>
  </si>
  <si>
    <t>Timetable is formatted in a table. Minimum creativity is applied to the redesigned map. The overall information is simple and not so appealing nor enhanced.</t>
  </si>
  <si>
    <t>Timetable is formatted in a table and is creative, interesting and meets the expectation and enhancement of the overall information.</t>
  </si>
  <si>
    <t>Timetable is formatted in a table and very creative and exceeds expectations. Enhanced the overall information into context in an appealing way.</t>
  </si>
  <si>
    <t>Task 1: Quality of the mounted presentations and the printouts</t>
  </si>
  <si>
    <t>Mounting is of poor quality and may include one or more of the following: messy, placement not considered, not straight, not flat</t>
  </si>
  <si>
    <t>Mounting is acceptable (could be presented to a client) is generally clean, placement considered, straight and flat</t>
  </si>
  <si>
    <t>Mounting is of a high standard, minimal glue/tape marks or lines, clean, placement well considered, straight and flat</t>
  </si>
  <si>
    <t>Mounting is of a very high standard, no glue/tape marks or lines, very clean, placement well considered, straight and flat, additional information (e.g. name tag) well considered</t>
  </si>
  <si>
    <t>C22</t>
  </si>
  <si>
    <t>Day 3 Sub Criterion 2.2 Final Design</t>
  </si>
  <si>
    <t>Task 2: Over all Visual Impact &amp; Communication effectiveness (Inside Pages). Consider using fonts and less typography (extra criteria)</t>
  </si>
  <si>
    <t>Poorly balanced and hardly harmonious, and does not properly convey the aesthetics, balance, flow, image usage, composition, chosen font, colour. Target market is not engaged nor their experience enhanced. (no typography)</t>
  </si>
  <si>
    <t>Sufficiently balanced and/or harmonious, minimal unity and relationship with aesthetics, balance, flow, image usage, composition,chosen font, colour. Target market is not so effectively engaged nor their experience enhanced. (no typography)</t>
  </si>
  <si>
    <t>Effectively balanced and harmonious includes effective aesthetics, flow, image usage, composition, chosen font, colour. Target market is adquately engaged and experience enhanced. (no typography)</t>
  </si>
  <si>
    <t>Strong balanced and harmonious, includes strong consideration of aesthetics, flow, image usage, composition, chosen font, colour. Target market is effectively engaged and experience enhanced. (no typography)</t>
  </si>
  <si>
    <t>Task 2: Typographic Hierarchy and spacing is practical and appropriate (excluding font type)</t>
  </si>
  <si>
    <t>Typography is poor, alignment and justification, sizing, leading, spacing, tracking and kerning, matching are not well considered, or are not effective</t>
  </si>
  <si>
    <t>Typography is acceptable. Some of the following have been considered: alignment and justification, sizing, leading, spacing, tracking and kerning, matching merely considered</t>
  </si>
  <si>
    <t>Typography is of high quality. Alignment and justification, sizing, leading, spacing, tracking and kerning, matching are considered</t>
  </si>
  <si>
    <t>Typography is exceptional. Alignment and justification, sizing, leading, spacing, tracking and kerning, matching is all very well considered</t>
  </si>
  <si>
    <t>Task 2: Quality of the infographic - page 6-7</t>
  </si>
  <si>
    <t>Infographic does not convey client messages and intentions with lack of understanding. Overall bad typeface choice, colour, unity, legibility.</t>
  </si>
  <si>
    <t>The infographic conveys some of the client's messages and intentions with a clear understanding. Minimal quality in the choice of font, readability and formatting, but sufficiently suitable to enhance the quality of the design.</t>
  </si>
  <si>
    <t>The infographic conveys most of the client's messages and intentions with clear understanding. Good quality font choice, readability and formatting, appropriately thoughtful and effective  in the implementation of the design.</t>
  </si>
  <si>
    <t>The infographic conveys all the client's messages and intentions with clear understanding. The choice of font, colour, consistency, readability, formatting and style has a positive impact on the design.</t>
  </si>
  <si>
    <t>Task 2: Booklet - Quality of mockup</t>
  </si>
  <si>
    <t>Task 3: Unity and relationship between alternative Layouts</t>
  </si>
  <si>
    <t>Alternative layouts are not unified and are lacking cohesion between one another</t>
  </si>
  <si>
    <t>Most alternative layouts elements are unified, with cohesion between one another</t>
  </si>
  <si>
    <t>Alternative layouts are unified, with clear cohesion between one another</t>
  </si>
  <si>
    <t>Alternative layouts are unified and enhance the overall strength of the Booklet</t>
  </si>
  <si>
    <t>C31</t>
  </si>
  <si>
    <t>Day 3 Sub Criterion 3.1 Software and Hardware</t>
  </si>
  <si>
    <t>Task 1: Production of QR-Code</t>
  </si>
  <si>
    <t>QR-Code with this link www.sdgs.un.org
QR-Code size (black area) 15x15 mm. 
The QR-Code must be 100% black.</t>
  </si>
  <si>
    <t>Task 1: correct cover size and bleed</t>
  </si>
  <si>
    <t>•	Size of cover (closed format): 16 x 27 cm (portrait)
•	Size of the cover flap: 8 x 27 cm (portrait)
•	Bleed: 3 mm</t>
  </si>
  <si>
    <t>Task 1: Resolution of linked images as specified</t>
  </si>
  <si>
    <t>Resolution of the images: 149 - 151 ppi (greyscale and colour images)</t>
  </si>
  <si>
    <t>Task 1: Colour mode and ICC Profile applied</t>
  </si>
  <si>
    <t>•	Colour: cmyk + PANTONE 285 U + spot colour for die line. 
•	Name the die line: "Die Line front"
•	Colour profile: Uncoated Fogra29</t>
  </si>
  <si>
    <t>Task 1: Correct naming</t>
  </si>
  <si>
    <t>•	File name: YY_Conference-Booklet-COVER.indd (YY number of your workstation)</t>
  </si>
  <si>
    <t>Task 1: PDF/X-4:2010 as spreads, format as required</t>
  </si>
  <si>
    <t>1 x PDF/X-4:2010 as spreads, with bleed, crop marks and the die line on a separate layer (cover outside &amp; cover inside)</t>
  </si>
  <si>
    <t>Task 1: All required text is present</t>
  </si>
  <si>
    <t>&gt;&gt; compare in print ready PDF/X-3:2002 with 1_Assessment-Text Task1</t>
  </si>
  <si>
    <t>C32</t>
  </si>
  <si>
    <t>Day 3 Sub Criterion 3.2 Software and Hardware</t>
  </si>
  <si>
    <t>Task 2: Automatically created table present in page 3</t>
  </si>
  <si>
    <t>Page 3: Automatically create a "Table of Content" for the booklet.</t>
  </si>
  <si>
    <t>Task 2: All required Text and elements in the layout</t>
  </si>
  <si>
    <t>&gt;&gt; compare in print ready PDF/X-3:2002 with 1_Assessment-Text Task2
Assess only those Elements on following pages:
Page 4-5: •	Use the 17 icons for the 17 SDG's provided in the folder 
•	Use at least one image of the folder
Page 6-7: Use image of the folder  &gt;&gt; 2_Appendix_Images or create your own illustration
Page 9:  Use the image of the speaker and at least one image from the same folder.
Page 10: Use the image of the speaker and at least one image from the same folder</t>
  </si>
  <si>
    <t>Task 2: Paragraph and Table Styles applied</t>
  </si>
  <si>
    <t>Task 2: Master Page Elements present</t>
  </si>
  <si>
    <t>Master Page Elements: Page Number, Running Headline and recurrent design element on every page (lines, dots, logos,... )</t>
  </si>
  <si>
    <t>Task 3: Colour mode in Layout</t>
  </si>
  <si>
    <t>•	Transparency Blend space: RGB
•	ICC Pofile: sRGB IEC61966-2.1</t>
  </si>
  <si>
    <t>Task 3: All Elements of existing pages present both alternative layouts</t>
  </si>
  <si>
    <t>Layout from Task 1 and 2: Use the same content and design of front cover page outside, timetable on page 12 and 13, back cover page inside.</t>
  </si>
  <si>
    <t>Task 3: Final production Layout present</t>
  </si>
  <si>
    <t>Criterion D</t>
  </si>
  <si>
    <t>D1</t>
  </si>
  <si>
    <t>Day 4 Sub Criterion 1 Creative Process</t>
  </si>
  <si>
    <t>4</t>
  </si>
  <si>
    <t>Task 1: Creativity use of Images for the Fair Exposition Stand</t>
  </si>
  <si>
    <t>either no images applied or lacking creativity (example: a 'cut and paste', without consideration for design enhancement)</t>
  </si>
  <si>
    <t>somewhat creative. Images are well chosen and arranged, may show some innovation,</t>
  </si>
  <si>
    <t>very creative aspects included. Imaginative and highly innovative (including use of additional elements)</t>
  </si>
  <si>
    <t>Task 1: creativity and aesthetics appropriateness to target market</t>
  </si>
  <si>
    <t>aesthetics are poor and not appropriate to target market</t>
  </si>
  <si>
    <t>aesthetics are sufficient and some aspects align to target market</t>
  </si>
  <si>
    <t>aesthetically pleasing, creative and appropriate for target market</t>
  </si>
  <si>
    <t>very aesthetically and creative pleasing and highly appropriate for target market</t>
  </si>
  <si>
    <t>Task 2: Effective use of visual composition, compelling design including colours and typography and alignment to target market</t>
  </si>
  <si>
    <t>visual composition and design is poor and not appropriate to target market</t>
  </si>
  <si>
    <t>composition is aesthetically pleasing and appropriate for target market. Design is well balanced between typography and colours</t>
  </si>
  <si>
    <t>very aesthetically pleasing and highly appropriate design for target market in all aspects</t>
  </si>
  <si>
    <t>Task 2: Communication effectiveness of the 3 steps: Clean, Care, Lube and the 3 related products</t>
  </si>
  <si>
    <t>Bare minimal effort and on the implementation of advertising the products. Target market is not engaged nor affect the experience effectively.</t>
  </si>
  <si>
    <t>Only basic implementation of advertising the products. Good sense of appeal, target market is adequately engaged and experience enhanced effectively.</t>
  </si>
  <si>
    <t>Good use of creativity and well structured advertisement of the 3 products, Good sense of appeal, target market is adequately engaged and experience enhanced effectively.</t>
  </si>
  <si>
    <t>Excellent creativity and clearly structured advertisement of the 3 products. Strong appeal, target market is effectively engaged and experience enhanced effectively.</t>
  </si>
  <si>
    <t>D2</t>
  </si>
  <si>
    <t>Day 4 Sub Criterion 2 Final Design</t>
  </si>
  <si>
    <t>Task 1: Quality of Colour Background manipulation:
•	change the background to a gradient from "Motorex Green” to “Motorex Yellow”
•	the ground area remains grey</t>
  </si>
  <si>
    <t>No similarity with the original</t>
  </si>
  <si>
    <t>In principle, the proposal can be shown to the client</t>
  </si>
  <si>
    <t>All cut-outs correspond to the template and the client will be satisfied. Colour gradients could be improved.</t>
  </si>
  <si>
    <t>There is nothing to criticise. The colour gradients are also very well coordinated.</t>
  </si>
  <si>
    <t>Task 1: Quality of “Motorex” logo perspective on top</t>
  </si>
  <si>
    <t>Perspective is poor — e.g. wrong calculation of vanishing points and horizon lines</t>
  </si>
  <si>
    <t>Perspective is acceptable — e.g. proper perspective but strange proportions</t>
  </si>
  <si>
    <t>Perspective is of a high standard — e.g. on the first view everything works</t>
  </si>
  <si>
    <t>Perspective is excellent — e.g. There is nothing to criticise even at second glance, very diligent work</t>
  </si>
  <si>
    <t>Task 1: Quality of positioning of the 3 products into the frame</t>
  </si>
  <si>
    <t>Positioning is poor — e.g. wrong perspective and placement</t>
  </si>
  <si>
    <t>Positioning is acceptable — e.g. proper perspective debatable positioning</t>
  </si>
  <si>
    <t>Positioning is of a high standard — e.g. on the first view everything works</t>
  </si>
  <si>
    <t>Perspective is excellent — e.g. There is nothing to criticize even at second glance, very diligent work</t>
  </si>
  <si>
    <t>Task 1: Quality of positioning of the Bike</t>
  </si>
  <si>
    <t>Positioning is of a high standard — e.g. on the first view everything works nice location to place the bike</t>
  </si>
  <si>
    <t>Positioning is excellent — e.g. perfect perspective and very creative location to place the bike</t>
  </si>
  <si>
    <t>Task 1: Perspective and Positioning of the Roll-Up</t>
  </si>
  <si>
    <t>Positioning and Perspective is poor — e.g. wrong perspective and placement</t>
  </si>
  <si>
    <t>Positioning and Perspective is acceptable — e.g. proper perspective and debatable positioning or vice versa</t>
  </si>
  <si>
    <t>Positioning and Perspective is of a high standard — e.g. both works nice in a communicative way</t>
  </si>
  <si>
    <t>Positioning and Perspective is excellent — e.g. perfect perspective and very creative location to place the Roll-Up</t>
  </si>
  <si>
    <t>D3</t>
  </si>
  <si>
    <t>Day 4 Sub Criterion 3 Software and Hardware</t>
  </si>
  <si>
    <t>Task 1: Editing the PS Doc non-destructive</t>
  </si>
  <si>
    <t>Working with adjustment layers using Smart Filters, adjusting variations, shadows, and highlights with Smart Objects, masking retouching on a separate layer, cropping non-destructively
Usage of vector smart objects for all imported logos</t>
  </si>
  <si>
    <t>Task 1: Colour definition of the Background</t>
  </si>
  <si>
    <t>Background Gradient green and yellow:
RGB 0 R, 164 G, 146 B / #00a492 
RGB 250 R, 205 G, 0 B / #facd00</t>
  </si>
  <si>
    <t>Task 1: Resolution, Canvas Size and Naming of the PSD</t>
  </si>
  <si>
    <t>• Resolution: 180 ppi
• Canvas Size: 2835 x 1665 px
• YY_Motorex-Bike-Line-Products_Stand. (YY represents your competitor number)</t>
  </si>
  <si>
    <t>Task 1: All required elements are present on the stand</t>
  </si>
  <si>
    <t>•	change the background to a gradient from "Motorex Green” to “Motorex Yellow”
•	the ground area remains grey
•	place the logo “Motorex” with the Icon on top
•	position the 3 products into the frame where the numbers 1,2 and 3 are located
•	use the “Bike Mood Pictures” to design your fair-stand 
•	position the “Bike” into the fair-stand
•	place the logo "Bio-degradable"
•	use the logo "BIKES BEST BUDDY” in your fair-stand design
•	place the roll-up of Task 2 at a suitable location</t>
  </si>
  <si>
    <t>Task 2: Resolution of linked images as specified</t>
  </si>
  <si>
    <t>144 ppi
&gt;&gt; open Doc: e.g.:Indesign</t>
  </si>
  <si>
    <t>Task 2: Final dimensions of layout as specified</t>
  </si>
  <si>
    <t>100 x 205 cm
open Doc: e.g.:Indesign</t>
  </si>
  <si>
    <t>Task 2: All required elements are present</t>
  </si>
  <si>
    <t>1	“Motorex” with the Icon and the text “Oil of Switzerland”
2	place the logo "Bio-degradable"
3	the 3 products  1 &gt; Clean, 2 &gt; Care, 3 &gt; Lube 
4	use one or more “Bike Mood Pictures"
5	position the “Bike” as you wish
6	use the TEXT: EVERYTHING YOUR BIKE NEEDS Biodegradable lubricants and care products 
7	use the TEXT: 1 Clean, 2 Care, 3 Lube. 
8	QR-Code</t>
  </si>
  <si>
    <t>D4</t>
  </si>
  <si>
    <t>Day 4 Sub Criterion 4 Visual Presentation</t>
  </si>
  <si>
    <t>Task 3: All required elements are present</t>
  </si>
  <si>
    <t>1.	Motorex logo
2.	The text from 
3.	Any images you wish to include from Appendix_2-Bike Mood Pictures or Appendix_3-products</t>
  </si>
  <si>
    <t>sRGB IEC611966-2.1</t>
  </si>
  <si>
    <t>Task 2: ICC Profile applied</t>
  </si>
  <si>
    <t>Colour Profile: Coated FOGRA39
&gt;&gt; Acrobat</t>
  </si>
  <si>
    <t>Task 3:Visual Impact &amp; Communication effectiveness of your Banner-Animation</t>
  </si>
  <si>
    <t>Visual Impact &amp; Communication is poorly balanced and hardly harmonious, and does not properly convey the animation flow, image usage, composition, and colour. Lacking in appeal, target market is not engaged nor affect the experience effectively.</t>
  </si>
  <si>
    <t>Visual Impact &amp; Communication is sufficiently balanced, minimal unity and relationship with aesthetics, animation flow, image usage, composition, and colour. Not so strong appeal, target market is not so engaged nor affect the experience effectively.</t>
  </si>
  <si>
    <t>Visual Impact &amp; Communication is effectively balanced and harmonious includes effective aesthetics, animation flow, image usage, composition and colour. Good sense of appeal, target market is adequately engaged and experience enhanced effectively.</t>
  </si>
  <si>
    <t>Visual Impact &amp; Communication is strong balanced and harmonious, includes strong consideration of aesthetics, animation flow, image usage, composition and colour. Strong appeal, target market is effectively engaged and experience enhanced effectively.</t>
  </si>
  <si>
    <t>poor quality and has not been cut well, may be messy, not fully completed, or competitor nr. not on the board</t>
  </si>
  <si>
    <t>acceptable (could be presented to a client) is generally cut well and fairly clean - Competitor nr. present</t>
  </si>
  <si>
    <t>precisely trimmed and cleanly cut out - competitor nr. well positioned</t>
  </si>
  <si>
    <t>an exceptional standard, cut and trimmed very well, clean and precise</t>
  </si>
  <si>
    <t>Task 3: Unity and relationships between all tasks. ( All
Fair-Presentation-Stand, Roll-Up, Banner</t>
  </si>
  <si>
    <t>D5</t>
  </si>
  <si>
    <t>Day 4 Sub Criterion 5 Knowledge of Prepress</t>
  </si>
  <si>
    <t>•	1 x PDF/X-4:2010 file with bleed, specified ICC profile and colour bars only </t>
  </si>
  <si>
    <t>Task 2: QR from web address and text positioning</t>
  </si>
  <si>
    <t>•	Place the TEXT: "products &amp; full details" next to the QR-Core</t>
  </si>
  <si>
    <t>D6</t>
  </si>
  <si>
    <t>Day 4 Sub Criterion 6 Integration of Digital Media</t>
  </si>
  <si>
    <t>Task 3: Final size, resolution and duration of the animated file as specified</t>
  </si>
  <si>
    <t>•	Size: 1080px x 356 px
•	Resolution: 144 dpi 
•	Permitted file formats: .jpg, .gif, .psd, .aep
•	Duration — Between 00:08 and 00:10 seconds in length</t>
  </si>
  <si>
    <t>Task 3: Final presentation movie file as specified</t>
  </si>
  <si>
    <t>•	1 x RGB video format: MP4 or MOV file type.</t>
  </si>
  <si>
    <t>Task 1: Saving PDF/X-4:2010</t>
  </si>
  <si>
    <t>•	PDF/X-4:2010 (PDF 1.7), euroscale coated V2</t>
  </si>
  <si>
    <t>Task 1: Saving PDF/X-3:2003</t>
  </si>
  <si>
    <t>•	PDF/X-3:2003 PDF to be sent by e-mail. Web Coated FOGRA28 , compression not higher than 150 ppi , image quality medium.</t>
  </si>
  <si>
    <t>D7</t>
  </si>
  <si>
    <t>Day 4 Sub Criterion 7 Saving and File Format</t>
  </si>
  <si>
    <t>Task 1: printout A3 vertical</t>
  </si>
  <si>
    <t>•	Print your Design together with the original Layout one above the other on one (1) A3 paper and the Name-Tag: YY_Motorex-Bike-Line-Products_Stand. (YY represents your competitor number).</t>
  </si>
  <si>
    <t>Task 2: printout A4 paper</t>
  </si>
  <si>
    <t>•	1 x A4 Format of your Design reduced to fit on paper</t>
  </si>
  <si>
    <t>Task 3: File name as required</t>
  </si>
  <si>
    <t>●	YY_Animation_task3.psd or YY_Animation_task3.aep
●	YY_Animation_task3.gif</t>
  </si>
  <si>
    <t>•	1 x Photoshop .psd layered file or After Effects .aep working project native file, packaged and including linked files and fonts.
•	Any other Working files should be saved in a separate folder that proves development and showcases any alternatives</t>
  </si>
  <si>
    <t>Criterion E</t>
  </si>
  <si>
    <t>Criterion F</t>
  </si>
  <si>
    <t>Criterion G</t>
  </si>
  <si>
    <t>Criterion H</t>
  </si>
  <si>
    <t>Criterion 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</si>
</sst>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0" x14ac:knownFonts="1">
    <font>
      <sz val="10"/>
      <color theme="1"/>
      <name val="Arial"/>
      <family val="2"/>
    </font>
    <font>
      <sz val="8"/>
      <name val="Arial"/>
      <family val="2"/>
    </font>
    <font>
      <sz val="10"/>
      <name val="Arial"/>
      <family val="2"/>
    </font>
    <font>
      <sz val="10"/>
      <color indexed="9"/>
      <name val="Arial"/>
      <family val="2"/>
    </font>
    <font>
      <sz val="16"/>
      <name val="Arial"/>
      <family val="2"/>
    </font>
    <font>
      <sz val="16"/>
      <color indexed="8"/>
      <name val="Arial"/>
      <family val="2"/>
    </font>
    <font>
      <sz val="10"/>
      <color rgb="FFFFFFFF"/>
      <name val="Arial"/>
      <family val="2"/>
    </font>
    <font>
      <sz val="18"/>
      <color indexed="9"/>
      <name val="Arial"/>
      <family val="2"/>
    </font>
    <font>
      <sz val="16"/>
      <color indexed="9"/>
      <name val="Arial"/>
      <family val="2"/>
    </font>
    <font>
      <name val="Arial"/>
      <sz val="10.0"/>
    </font>
  </fonts>
  <fills count="7">
    <fill>
      <patternFill patternType="none"/>
    </fill>
    <fill>
      <patternFill patternType="gray125"/>
    </fill>
    <fill>
      <patternFill patternType="solid">
        <fgColor indexed="55"/>
        <bgColor indexed="64"/>
      </patternFill>
    </fill>
    <fill>
      <patternFill patternType="solid">
        <fgColor rgb="FF969696"/>
        <bgColor rgb="FF000000"/>
      </patternFill>
    </fill>
    <fill>
      <patternFill/>
    </fill>
    <fill>
      <patternFill>
        <fgColor indexed="64"/>
      </patternFill>
    </fill>
    <fill>
      <patternFill>
        <fgColor indexed="64"/>
        <bgColor indexed="64"/>
      </patternFill>
    </fill>
  </fills>
  <borders count="29">
    <border>
      <left/>
      <right/>
      <top/>
      <bottom/>
      <diagonal/>
    </border>
    <border>
      <left style="medium">
        <color auto="1"/>
      </left>
      <right style="medium">
        <color auto="1"/>
      </right>
      <top style="medium">
        <color auto="1"/>
      </top>
      <bottom style="medium">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right style="medium"/>
    </border>
    <border>
      <right style="medium">
        <color indexed="8"/>
      </right>
    </border>
    <border>
      <left style="medium"/>
      <right style="medium"/>
    </border>
    <border>
      <left style="medium"/>
      <right style="medium">
        <color indexed="8"/>
      </right>
    </border>
    <border>
      <right style="medium">
        <color indexed="8"/>
      </right>
      <bottom style="medium"/>
    </border>
    <border>
      <right style="medium">
        <color indexed="8"/>
      </right>
      <bottom style="medium">
        <color indexed="8"/>
      </bottom>
    </border>
    <border>
      <left style="medium">
        <color indexed="8"/>
      </left>
      <right style="medium">
        <color indexed="8"/>
      </right>
    </border>
    <border>
      <left style="medium">
        <color indexed="8"/>
      </left>
      <right style="medium">
        <color indexed="8"/>
      </right>
      <bottom style="medium"/>
    </border>
    <border>
      <left style="medium">
        <color indexed="8"/>
      </left>
      <right style="medium">
        <color indexed="8"/>
      </right>
      <bottom style="medium">
        <color indexed="8"/>
      </bottom>
    </border>
    <border>
      <right style="medium"/>
      <bottom>
        <color indexed="8"/>
      </bottom>
    </border>
    <border>
      <left>
        <color indexed="8"/>
      </left>
      <right style="medium"/>
      <bottom>
        <color indexed="8"/>
      </bottom>
    </border>
    <border>
      <left>
        <color indexed="8"/>
      </left>
      <right style="medium">
        <color indexed="8"/>
      </right>
      <bottom>
        <color indexed="8"/>
      </bottom>
    </border>
    <border>
      <left>
        <color indexed="8"/>
      </left>
      <right style="medium">
        <color indexed="8"/>
      </right>
      <top>
        <color indexed="8"/>
      </top>
      <bottom>
        <color indexed="8"/>
      </bottom>
    </border>
    <border>
      <bottom style="medium"/>
    </border>
    <border>
      <bottom style="medium">
        <color indexed="8"/>
      </bottom>
    </border>
    <border>
      <left>
        <color indexed="8"/>
      </left>
      <bottom style="medium">
        <color indexed="8"/>
      </bottom>
    </border>
    <border>
      <left>
        <color indexed="8"/>
      </left>
      <right>
        <color indexed="8"/>
      </right>
      <bottom style="medium">
        <color indexed="8"/>
      </bottom>
    </border>
    <border>
      <left>
        <color indexed="8"/>
      </left>
      <right>
        <color indexed="8"/>
      </right>
      <top>
        <color indexed="8"/>
      </top>
      <bottom style="medium">
        <color indexed="8"/>
      </bottom>
    </border>
    <border>
      <right style="medium"/>
      <bottom style="medium"/>
    </border>
    <border>
      <right style="medium"/>
      <bottom style="medium">
        <color indexed="8"/>
      </bottom>
    </border>
    <border>
      <left>
        <color indexed="8"/>
      </left>
      <right style="medium"/>
      <bottom style="medium">
        <color indexed="8"/>
      </bottom>
    </border>
    <border>
      <left>
        <color indexed="8"/>
      </left>
      <right style="medium">
        <color indexed="8"/>
      </right>
      <bottom style="medium">
        <color indexed="8"/>
      </bottom>
    </border>
    <border>
      <left>
        <color indexed="8"/>
      </left>
      <right style="medium">
        <color indexed="8"/>
      </right>
      <top>
        <color indexed="8"/>
      </top>
      <bottom style="medium">
        <color indexed="8"/>
      </bottom>
    </border>
  </borders>
  <cellStyleXfs count="1">
    <xf numFmtId="0" fontId="0" fillId="0" borderId="0"/>
  </cellStyleXfs>
  <cellXfs count="156">
    <xf numFmtId="0" fontId="0" fillId="0" borderId="0" xfId="0"/>
    <xf numFmtId="0" fontId="0" fillId="0" borderId="0" xfId="0" applyFont="1"/>
    <xf numFmtId="0" fontId="2" fillId="0" borderId="0" xfId="0" applyFont="1" applyFill="1" applyBorder="1" applyAlignment="1">
      <alignment horizontal="center" vertical="center"/>
    </xf>
    <xf numFmtId="2" fontId="0" fillId="0" borderId="0" xfId="0" applyNumberFormat="1"/>
    <xf numFmtId="0" fontId="3" fillId="2" borderId="1"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5" fillId="0" borderId="0" xfId="0" applyFont="1" applyFill="1" applyBorder="1" applyAlignment="1">
      <alignment horizontal="center" vertical="center" wrapText="1"/>
    </xf>
    <xf numFmtId="2" fontId="4" fillId="0" borderId="0" xfId="0" applyNumberFormat="1" applyFont="1" applyFill="1" applyBorder="1" applyAlignment="1">
      <alignment horizontal="center" vertical="center"/>
    </xf>
    <xf numFmtId="0" fontId="3" fillId="0" borderId="0" xfId="0" applyFont="1" applyFill="1" applyBorder="1" applyAlignment="1">
      <alignment horizontal="center" vertical="center" wrapText="1"/>
    </xf>
    <xf numFmtId="0" fontId="6" fillId="0" borderId="0" xfId="0" applyFont="1" applyFill="1" applyBorder="1" applyAlignment="1">
      <alignment horizontal="center" vertical="center" wrapText="1"/>
    </xf>
    <xf numFmtId="0" fontId="2" fillId="0" borderId="0" xfId="0" applyFont="1" applyAlignment="1">
      <alignment horizontal="center" vertical="center"/>
    </xf>
    <xf numFmtId="0" fontId="3" fillId="2" borderId="5"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0" fillId="0" borderId="0" xfId="0" applyAlignment="1">
      <alignment horizontal="center" vertical="center"/>
    </xf>
    <xf numFmtId="0" fontId="0" fillId="0" borderId="1" xfId="0" applyBorder="1"/>
    <xf numFmtId="0" fontId="0" fillId="0" borderId="0" xfId="0" applyBorder="1" applyAlignment="1">
      <alignment horizontal="center" vertical="center"/>
    </xf>
    <xf numFmtId="0" fontId="0" fillId="0" borderId="0" xfId="0" applyBorder="1"/>
    <xf numFmtId="0" fontId="6" fillId="3" borderId="2"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0" fillId="0" borderId="2" xfId="0" applyBorder="1" applyAlignment="1">
      <alignment horizontal="center" vertical="center"/>
    </xf>
    <xf numFmtId="0" fontId="0" fillId="0" borderId="4" xfId="0" applyBorder="1" applyAlignment="1">
      <alignment horizontal="center" vertical="center"/>
    </xf>
    <xf numFmtId="0" fontId="9" fillId="0" borderId="0" xfId="0" applyFont="true" applyAlignment="true">
      <alignment horizontal="left" vertical="center"/>
    </xf>
    <xf numFmtId="0" fontId="9" fillId="0" borderId="0" xfId="0" applyFont="true" applyAlignment="true">
      <alignment horizontal="center" vertical="center"/>
    </xf>
    <xf numFmtId="2" fontId="9" fillId="0" borderId="0" xfId="0" applyFont="true" applyAlignment="true" applyNumberFormat="true">
      <alignment horizontal="center" vertical="center"/>
    </xf>
    <xf numFmtId="0" fontId="9" fillId="0" borderId="7" xfId="0" applyFont="true" applyAlignment="true" applyBorder="true">
      <alignment horizontal="left" vertical="center"/>
    </xf>
    <xf numFmtId="0" fontId="9" fillId="0" borderId="9" xfId="0" applyFont="true" applyAlignment="true" applyBorder="true">
      <alignment horizontal="center" vertical="center"/>
    </xf>
    <xf numFmtId="2" fontId="9" fillId="0" borderId="9" xfId="0" applyFont="true" applyAlignment="true" applyBorder="true" applyNumberFormat="true">
      <alignment horizontal="center" vertical="center"/>
    </xf>
    <xf numFmtId="2" fontId="9" fillId="0" borderId="7" xfId="0" applyFont="true" applyAlignment="true" applyBorder="true" applyNumberFormat="true">
      <alignment horizontal="center" vertical="center"/>
    </xf>
    <xf numFmtId="0" fontId="9" fillId="0" borderId="11" xfId="0" applyFont="true" applyAlignment="true" applyBorder="true">
      <alignment horizontal="left" vertical="center"/>
    </xf>
    <xf numFmtId="0" fontId="9" fillId="0" borderId="14" xfId="0" applyFont="true" applyAlignment="true" applyBorder="true">
      <alignment horizontal="center" vertical="center"/>
    </xf>
    <xf numFmtId="2" fontId="9" fillId="0" borderId="14" xfId="0" applyFont="true" applyAlignment="true" applyBorder="true" applyNumberFormat="true">
      <alignment horizontal="center" vertical="center"/>
    </xf>
    <xf numFmtId="0" fontId="0" fillId="6" borderId="18" xfId="0" applyAlignment="true" applyBorder="true" applyNumberFormat="true" applyFill="true" applyFont="true">
      <alignment horizontal="general" vertical="bottom" indent="0" textRotation="0" wrapText="false"/>
      <protection hidden="false" locked="true"/>
    </xf>
    <xf numFmtId="0" fontId="0" fillId="6" borderId="23" xfId="0" applyAlignment="true" applyBorder="true" applyNumberFormat="true" applyFill="true" applyFont="true">
      <alignment horizontal="general" vertical="bottom" indent="0" textRotation="0" wrapText="false"/>
      <protection hidden="false" locked="true"/>
    </xf>
    <xf numFmtId="0" fontId="0" fillId="6" borderId="28" xfId="0" applyAlignment="true" applyBorder="true" applyNumberFormat="true" applyFill="true" applyFont="true">
      <alignment horizontal="general" vertical="bottom" indent="0" textRotation="0" wrapText="false"/>
      <protection hidden="false" locked="true"/>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5" fillId="0" borderId="0" xfId="0" applyFont="1" applyFill="1" applyBorder="1" applyAlignment="1">
      <alignment horizontal="center" vertical="center" wrapText="1"/>
    </xf>
    <xf numFmtId="2" fontId="4" fillId="0" borderId="0" xfId="0" applyNumberFormat="1"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5" fillId="0" borderId="0" xfId="0" applyFont="1" applyFill="1" applyBorder="1" applyAlignment="1">
      <alignment horizontal="center" vertical="center" wrapText="1"/>
    </xf>
    <xf numFmtId="2" fontId="4" fillId="0" borderId="0" xfId="0" applyNumberFormat="1"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5" fillId="0" borderId="0" xfId="0" applyFont="1" applyFill="1" applyBorder="1" applyAlignment="1">
      <alignment horizontal="center" vertical="center" wrapText="1"/>
    </xf>
    <xf numFmtId="2" fontId="4" fillId="0" borderId="0" xfId="0" applyNumberFormat="1"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5" fillId="0" borderId="0" xfId="0" applyFont="1" applyFill="1" applyBorder="1" applyAlignment="1">
      <alignment horizontal="center" vertical="center" wrapText="1"/>
    </xf>
    <xf numFmtId="2" fontId="4" fillId="0" borderId="0" xfId="0" applyNumberFormat="1"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5" fillId="0" borderId="0" xfId="0" applyFont="1" applyFill="1" applyBorder="1" applyAlignment="1">
      <alignment horizontal="center" vertical="center" wrapText="1"/>
    </xf>
    <xf numFmtId="2" fontId="4" fillId="0" borderId="0" xfId="0" applyNumberFormat="1"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5" fillId="0" borderId="0" xfId="0" applyFont="1" applyFill="1" applyBorder="1" applyAlignment="1">
      <alignment horizontal="center" vertical="center" wrapText="1"/>
    </xf>
    <xf numFmtId="2" fontId="4" fillId="0" borderId="0" xfId="0" applyNumberFormat="1"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5" fillId="0" borderId="0" xfId="0" applyFont="1" applyFill="1" applyBorder="1" applyAlignment="1">
      <alignment horizontal="center" vertical="center" wrapText="1"/>
    </xf>
    <xf numFmtId="2" fontId="4" fillId="0" borderId="0" xfId="0" applyNumberFormat="1"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5" fillId="0" borderId="0" xfId="0" applyFont="1" applyFill="1" applyBorder="1" applyAlignment="1">
      <alignment horizontal="center" vertical="center" wrapText="1"/>
    </xf>
    <xf numFmtId="2" fontId="4" fillId="0" borderId="0" xfId="0" applyNumberFormat="1" applyFont="1" applyFill="1" applyBorder="1" applyAlignment="1">
      <alignment horizontal="center" vertical="center"/>
    </xf>
  </cellXfs>
  <cellStyles count="1">
    <cellStyle name="Normal"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s>
</file>

<file path=xl/drawings/_rels/vmlDrawing1.vml.rels><?xml version="1.0" encoding="UTF-8" standalone="no"?><Relationships xmlns="http://schemas.openxmlformats.org/package/2006/relationships"><Relationship Id="rId1" Target="../media/image1.png" Type="http://schemas.openxmlformats.org/officeDocument/2006/relationships/image"/></Relationships>
</file>

<file path=xl/drawings/_rels/vmlDrawing2.vml.rels><?xml version="1.0" encoding="UTF-8" standalone="no"?><Relationships xmlns="http://schemas.openxmlformats.org/package/2006/relationships"><Relationship Id="rId1" Target="../media/image1.png" Type="http://schemas.openxmlformats.org/officeDocument/2006/relationships/imag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08"/>
  <sheetViews>
    <sheetView tabSelected="1" workbookViewId="0">
      <selection activeCell="F21" sqref="F21"/>
    </sheetView>
  </sheetViews>
  <sheetFormatPr baseColWidth="10" defaultColWidth="8.83203125" defaultRowHeight="13" x14ac:dyDescent="0.15"/>
  <cols>
    <col min="1" max="1" customWidth="true" width="7.6640625"/>
    <col min="2" max="2" customWidth="true" width="39.0"/>
    <col min="3" max="3" customWidth="true" width="7.83203125"/>
    <col min="4" max="4" customWidth="true" width="8.5"/>
    <col min="5" max="5" customWidth="true" width="52.1640625"/>
    <col min="6" max="6" customWidth="true" width="8.0"/>
    <col min="7" max="7" customWidth="true" width="46.6640625"/>
    <col min="8" max="8" customWidth="true" width="15.5"/>
    <col min="9" max="9" customWidth="true" width="11.33203125"/>
    <col min="10" max="10" customWidth="true" width="11.0"/>
    <col min="11" max="11" customWidth="true" width="10.6640625"/>
    <col min="12" max="12" customWidth="true" width="18.5"/>
    <col min="14" max="14" bestFit="true" customWidth="true" width="10.6640625"/>
  </cols>
  <sheetData>
    <row r="1" spans="1:14" ht="49" customHeight="1" thickBot="1" x14ac:dyDescent="0.2">
      <c r="A1" s="26" t="s">
        <v>24</v>
      </c>
      <c r="B1" s="27"/>
      <c r="C1" s="27"/>
      <c r="D1" s="27"/>
      <c r="E1" s="27"/>
      <c r="F1" s="27"/>
      <c r="G1" s="27"/>
      <c r="H1" s="27"/>
      <c r="I1" s="27"/>
      <c r="J1" s="27"/>
      <c r="K1" s="28"/>
    </row>
    <row r="2" spans="1:14" ht="36" customHeight="1" thickBot="1" x14ac:dyDescent="0.2">
      <c r="C2" s="2"/>
      <c r="E2" s="2"/>
      <c r="J2" s="2"/>
    </row>
    <row r="3" spans="1:14" ht="35" customHeight="1" thickBot="1" x14ac:dyDescent="0.2">
      <c r="A3" s="20" t="s">
        <v>21</v>
      </c>
      <c r="B3" s="21"/>
      <c r="C3" s="21"/>
      <c r="D3" s="21"/>
      <c r="E3" s="21"/>
      <c r="F3" s="21"/>
      <c r="G3" s="21"/>
      <c r="H3" s="21"/>
      <c r="I3" s="21"/>
      <c r="J3" s="21"/>
      <c r="K3" s="22"/>
    </row>
    <row r="4" spans="1:14" ht="35" customHeight="1" thickBot="1" x14ac:dyDescent="0.2">
      <c r="A4" s="11" t="s">
        <v>12</v>
      </c>
      <c r="B4" s="17" t="s">
        <v>22</v>
      </c>
      <c r="C4" s="18"/>
      <c r="D4" s="18"/>
      <c r="E4" s="18"/>
      <c r="F4" s="18"/>
      <c r="G4" s="18"/>
      <c r="H4" s="19"/>
      <c r="I4" s="12" t="s">
        <v>22</v>
      </c>
      <c r="J4" s="12" t="s">
        <v>14</v>
      </c>
      <c r="K4" s="12" t="s">
        <v>18</v>
      </c>
    </row>
    <row r="5" ht="25.0" customHeight="true">
      <c r="A5" t="n" s="35">
        <v>1.0</v>
      </c>
      <c r="B5" t="s" s="34">
        <v>25</v>
      </c>
      <c r="H5" s="41"/>
      <c r="I5" t="n" s="37">
        <v>10.0</v>
      </c>
      <c r="J5" s="36">
        <f>SUMIF(I27:I407,A5,K27:K407)</f>
      </c>
      <c r="K5" s="36">
        <f>ABS(I5-J5)</f>
      </c>
    </row>
    <row r="6" ht="25.0" customHeight="true">
      <c r="A6" t="n" s="35">
        <v>2.0</v>
      </c>
      <c r="B6" t="s" s="34">
        <v>26</v>
      </c>
      <c r="H6" s="41"/>
      <c r="I6" t="n" s="37">
        <v>10.0</v>
      </c>
      <c r="J6" s="36">
        <f>SUMIF(I27:I407,A6,K27:K407)</f>
      </c>
      <c r="K6" s="36">
        <f>ABS(I6-J6)</f>
      </c>
    </row>
    <row r="7" ht="25.0" customHeight="true">
      <c r="A7" t="n" s="35">
        <v>3.0</v>
      </c>
      <c r="B7" t="s" s="34">
        <v>27</v>
      </c>
      <c r="H7" s="41"/>
      <c r="I7" t="n" s="37">
        <v>10.0</v>
      </c>
      <c r="J7" s="36">
        <f>SUMIF(I27:I407,A7,K27:K407)</f>
      </c>
      <c r="K7" s="36">
        <f>ABS(I7-J7)</f>
      </c>
    </row>
    <row r="8" ht="25.0" customHeight="true">
      <c r="A8" t="n" s="35">
        <v>4.0</v>
      </c>
      <c r="B8" t="s" s="34">
        <v>28</v>
      </c>
      <c r="H8" s="41"/>
      <c r="I8" t="n" s="37">
        <v>35.0</v>
      </c>
      <c r="J8" s="36">
        <f>SUMIF(I27:I407,A8,K27:K407)</f>
      </c>
      <c r="K8" s="36">
        <f>ABS(I8-J8)</f>
      </c>
    </row>
    <row r="9" ht="25.0" customHeight="true">
      <c r="A9" t="n" s="39">
        <v>5.0</v>
      </c>
      <c r="B9" t="s" s="38">
        <v>29</v>
      </c>
      <c r="C9" s="42"/>
      <c r="D9" s="42"/>
      <c r="E9" s="42"/>
      <c r="F9" s="42"/>
      <c r="G9" s="42"/>
      <c r="H9" s="43"/>
      <c r="I9" t="n" s="40">
        <v>35.0</v>
      </c>
      <c r="J9" s="40">
        <f>SUMIF(I27:I407,A9,K27:K407)</f>
      </c>
      <c r="K9" s="40">
        <f>ABS(I9-J9)</f>
      </c>
    </row>
    <row r="10" spans="1:14" ht="25.0" customHeight="true" thickBot="1" x14ac:dyDescent="0.2">
      <c r="C10" s="10"/>
      <c r="E10" s="10"/>
      <c r="I10" s="29" t="s">
        <v>20</v>
      </c>
      <c r="J10" s="30"/>
      <c r="K10" s="40">
        <f>SUM(K5:K9)</f>
      </c>
    </row>
    <row r="11" spans="1:14" ht="20" customHeight="1" x14ac:dyDescent="0.15">
      <c r="C11" s="10"/>
      <c r="E11" s="10"/>
      <c r="I11" s="15"/>
      <c r="J11" s="15"/>
      <c r="K11" s="16"/>
    </row>
    <row r="12" spans="1:14" ht="20" customHeight="1" thickBot="1" x14ac:dyDescent="0.2">
      <c r="C12" s="10"/>
      <c r="E12" s="10"/>
      <c r="I12" s="13"/>
      <c r="J12" s="10"/>
    </row>
    <row r="13" spans="1:14" ht="35.0" customHeight="true" thickBot="1" x14ac:dyDescent="0.2">
      <c r="A13" s="20" t="s">
        <v>17</v>
      </c>
      <c r="B13" s="21"/>
      <c r="C13" s="21"/>
      <c r="D13" s="21"/>
      <c r="E13" s="21"/>
      <c r="F13" s="21"/>
      <c r="G13" s="21"/>
      <c r="H13" s="21"/>
      <c r="I13" s="21"/>
      <c r="J13" s="21"/>
      <c r="K13" s="22"/>
    </row>
    <row r="14" spans="1:14" ht="35.0" customHeight="true" thickBot="1" x14ac:dyDescent="0.2">
      <c r="A14" s="11" t="s">
        <v>19</v>
      </c>
      <c r="B14" s="23" t="s">
        <v>13</v>
      </c>
      <c r="C14" s="24"/>
      <c r="D14" s="24"/>
      <c r="E14" s="24"/>
      <c r="F14" s="24"/>
      <c r="G14" s="24"/>
      <c r="H14" s="24"/>
      <c r="I14" s="24"/>
      <c r="J14" s="25"/>
      <c r="K14" s="11" t="s">
        <v>0</v>
      </c>
    </row>
    <row r="15" ht="25.0" customHeight="true">
      <c r="A15" t="s" s="35">
        <v>30</v>
      </c>
      <c r="B15" t="s" s="34">
        <v>31</v>
      </c>
      <c r="J15" s="41"/>
      <c r="K15" t="n" s="37">
        <v>25.0</v>
      </c>
    </row>
    <row r="16" ht="25.0" customHeight="true">
      <c r="A16" t="s" s="35">
        <v>32</v>
      </c>
      <c r="B16" t="s" s="34">
        <v>33</v>
      </c>
      <c r="J16" s="41"/>
      <c r="K16" t="n" s="37">
        <v>27.25</v>
      </c>
    </row>
    <row r="17" ht="25.0" customHeight="true">
      <c r="A17" t="s" s="35">
        <v>34</v>
      </c>
      <c r="B17" t="s" s="34">
        <v>35</v>
      </c>
      <c r="J17" s="41"/>
      <c r="K17" t="n" s="37">
        <v>25.25</v>
      </c>
    </row>
    <row r="18" ht="25.0" customHeight="true">
      <c r="A18" t="s" s="35">
        <v>36</v>
      </c>
      <c r="B18" t="s" s="34">
        <v>37</v>
      </c>
      <c r="J18" s="41"/>
      <c r="K18" t="n" s="37">
        <v>22.5</v>
      </c>
    </row>
    <row r="19" ht="25.0" customHeight="true">
      <c r="A19" t="s" s="35">
        <v>38</v>
      </c>
      <c r="B19" s="34"/>
      <c r="J19" s="41"/>
      <c r="K19" s="37"/>
    </row>
    <row r="20" ht="25.0" customHeight="true">
      <c r="A20" t="s" s="35">
        <v>39</v>
      </c>
      <c r="B20" s="34"/>
      <c r="J20" s="41"/>
      <c r="K20" s="37"/>
    </row>
    <row r="21" ht="25.0" customHeight="true">
      <c r="A21" t="s" s="35">
        <v>40</v>
      </c>
      <c r="B21" s="34"/>
      <c r="J21" s="41"/>
      <c r="K21" s="37"/>
    </row>
    <row r="22" ht="25.0" customHeight="true">
      <c r="A22" t="s" s="35">
        <v>41</v>
      </c>
      <c r="B22" s="34"/>
      <c r="J22" s="41"/>
      <c r="K22" s="37"/>
    </row>
    <row r="23" ht="25.0" customHeight="true">
      <c r="A23" t="s" s="39">
        <v>42</v>
      </c>
      <c r="B23" s="38"/>
      <c r="C23" s="42"/>
      <c r="D23" s="42"/>
      <c r="E23" s="42"/>
      <c r="F23" s="42"/>
      <c r="G23" s="42"/>
      <c r="H23" s="42"/>
      <c r="I23" s="42"/>
      <c r="J23" s="43"/>
      <c r="K23" s="40"/>
    </row>
    <row r="24" spans="1:14" ht="20" customHeight="1" x14ac:dyDescent="0.15">
      <c r="F24" s="8"/>
      <c r="G24" s="9"/>
      <c r="H24" s="9"/>
      <c r="I24" s="9"/>
      <c r="J24" s="3"/>
    </row>
    <row r="25" spans="1:14" ht="20" customHeight="1" thickBot="1" x14ac:dyDescent="0.2">
      <c r="C25" s="3"/>
      <c r="H25" s="3"/>
      <c r="I25" s="3"/>
      <c r="J25" s="3"/>
    </row>
    <row r="26" spans="1:14" ht="71" thickBot="1" x14ac:dyDescent="0.2">
      <c r="A26" s="4" t="s">
        <v>15</v>
      </c>
      <c r="B26" s="4" t="s">
        <v>16</v>
      </c>
      <c r="C26" s="4" t="s">
        <v>10</v>
      </c>
      <c r="D26" s="4" t="s">
        <v>6</v>
      </c>
      <c r="E26" s="4" t="s">
        <v>1</v>
      </c>
      <c r="F26" s="4" t="s">
        <v>2</v>
      </c>
      <c r="G26" s="4" t="s">
        <v>8</v>
      </c>
      <c r="H26" s="4" t="s">
        <v>9</v>
      </c>
      <c r="I26" s="4" t="s">
        <v>23</v>
      </c>
      <c r="J26" s="4" t="s">
        <v>11</v>
      </c>
      <c r="K26" s="4" t="s">
        <v>3</v>
      </c>
      <c r="L26" s="5" t="s">
        <v>7</v>
      </c>
      <c r="M26" s="6" t="s">
        <v>4</v>
      </c>
      <c r="N26" s="7">
        <f>SUM(K27:K109)</f>
      </c>
    </row>
    <row r="27">
      <c r="A27" s="35" t="s">
        <v>43</v>
      </c>
      <c r="B27" s="34" t="s">
        <v>44</v>
      </c>
      <c r="C27" s="35" t="s">
        <v>46</v>
      </c>
      <c r="D27" s="34" t="s">
        <v>45</v>
      </c>
      <c r="E27" s="34" t="s">
        <v>45</v>
      </c>
      <c r="F27" s="34" t="s">
        <v>45</v>
      </c>
      <c r="G27" s="34" t="s">
        <v>45</v>
      </c>
      <c r="H27" s="34" t="s">
        <v>45</v>
      </c>
      <c r="I27" s="34" t="s">
        <v>45</v>
      </c>
      <c r="J27" s="34" t="s">
        <v>45</v>
      </c>
      <c r="K27" s="34" t="s">
        <v>45</v>
      </c>
    </row>
    <row r="28">
      <c r="A28" s="35" t="s">
        <v>45</v>
      </c>
      <c r="B28" s="34" t="s">
        <v>45</v>
      </c>
      <c r="C28" s="35" t="s">
        <v>45</v>
      </c>
      <c r="D28" s="35" t="s">
        <v>47</v>
      </c>
      <c r="E28" s="34" t="s">
        <v>48</v>
      </c>
      <c r="F28" s="35" t="s">
        <v>45</v>
      </c>
      <c r="G28" s="34" t="s">
        <v>45</v>
      </c>
      <c r="H28" s="34" t="s">
        <v>45</v>
      </c>
      <c r="I28" s="35" t="n">
        <v>4.0</v>
      </c>
      <c r="J28" s="35"/>
      <c r="K28" s="37" t="n">
        <v>2.0</v>
      </c>
    </row>
    <row r="29">
      <c r="A29" s="35" t="s">
        <v>45</v>
      </c>
      <c r="B29" s="34" t="s">
        <v>45</v>
      </c>
      <c r="C29" s="35" t="s">
        <v>45</v>
      </c>
      <c r="D29" s="35" t="s">
        <v>45</v>
      </c>
      <c r="E29" s="34" t="s">
        <v>45</v>
      </c>
      <c r="F29" s="35" t="n">
        <v>0.0</v>
      </c>
      <c r="G29" s="34" t="s">
        <v>49</v>
      </c>
      <c r="H29" s="34" t="s">
        <v>45</v>
      </c>
      <c r="I29" s="35"/>
      <c r="J29" s="35"/>
      <c r="K29" s="37"/>
    </row>
    <row r="30">
      <c r="A30" s="35" t="s">
        <v>45</v>
      </c>
      <c r="B30" s="34" t="s">
        <v>45</v>
      </c>
      <c r="C30" s="35" t="s">
        <v>45</v>
      </c>
      <c r="D30" s="35" t="s">
        <v>45</v>
      </c>
      <c r="E30" s="34" t="s">
        <v>45</v>
      </c>
      <c r="F30" s="35" t="n">
        <v>1.0</v>
      </c>
      <c r="G30" s="34" t="s">
        <v>50</v>
      </c>
      <c r="H30" s="34" t="s">
        <v>45</v>
      </c>
      <c r="I30" s="35"/>
      <c r="J30" s="35"/>
      <c r="K30" s="37"/>
    </row>
    <row r="31">
      <c r="A31" s="35" t="s">
        <v>45</v>
      </c>
      <c r="B31" s="34" t="s">
        <v>45</v>
      </c>
      <c r="C31" s="35" t="s">
        <v>45</v>
      </c>
      <c r="D31" s="35" t="s">
        <v>45</v>
      </c>
      <c r="E31" s="34" t="s">
        <v>45</v>
      </c>
      <c r="F31" s="35" t="n">
        <v>2.0</v>
      </c>
      <c r="G31" s="34" t="s">
        <v>51</v>
      </c>
      <c r="H31" s="34" t="s">
        <v>45</v>
      </c>
      <c r="I31" s="35"/>
      <c r="J31" s="35"/>
      <c r="K31" s="37"/>
    </row>
    <row r="32">
      <c r="A32" s="35" t="s">
        <v>45</v>
      </c>
      <c r="B32" s="34" t="s">
        <v>45</v>
      </c>
      <c r="C32" s="35" t="s">
        <v>45</v>
      </c>
      <c r="D32" s="35" t="s">
        <v>45</v>
      </c>
      <c r="E32" s="34" t="s">
        <v>45</v>
      </c>
      <c r="F32" s="35" t="n">
        <v>3.0</v>
      </c>
      <c r="G32" s="34" t="s">
        <v>52</v>
      </c>
      <c r="H32" s="34" t="s">
        <v>45</v>
      </c>
      <c r="I32" s="35"/>
      <c r="J32" s="35"/>
      <c r="K32" s="37"/>
    </row>
    <row r="33">
      <c r="A33" s="35" t="s">
        <v>45</v>
      </c>
      <c r="B33" s="34" t="s">
        <v>45</v>
      </c>
      <c r="C33" s="35" t="s">
        <v>45</v>
      </c>
      <c r="D33" s="35" t="s">
        <v>47</v>
      </c>
      <c r="E33" s="34" t="s">
        <v>53</v>
      </c>
      <c r="F33" s="35" t="s">
        <v>45</v>
      </c>
      <c r="G33" s="34" t="s">
        <v>45</v>
      </c>
      <c r="H33" s="34" t="s">
        <v>45</v>
      </c>
      <c r="I33" s="35" t="n">
        <v>2.0</v>
      </c>
      <c r="J33" s="35"/>
      <c r="K33" s="37" t="n">
        <v>0.5</v>
      </c>
    </row>
    <row r="34">
      <c r="A34" s="35" t="s">
        <v>45</v>
      </c>
      <c r="B34" s="34" t="s">
        <v>45</v>
      </c>
      <c r="C34" s="35" t="s">
        <v>45</v>
      </c>
      <c r="D34" s="35" t="s">
        <v>45</v>
      </c>
      <c r="E34" s="34" t="s">
        <v>45</v>
      </c>
      <c r="F34" s="35" t="n">
        <v>0.0</v>
      </c>
      <c r="G34" s="34" t="s">
        <v>54</v>
      </c>
      <c r="H34" s="34" t="s">
        <v>45</v>
      </c>
      <c r="I34" s="35"/>
      <c r="J34" s="35"/>
      <c r="K34" s="37"/>
    </row>
    <row r="35">
      <c r="A35" s="35" t="s">
        <v>45</v>
      </c>
      <c r="B35" s="34" t="s">
        <v>45</v>
      </c>
      <c r="C35" s="35" t="s">
        <v>45</v>
      </c>
      <c r="D35" s="35" t="s">
        <v>45</v>
      </c>
      <c r="E35" s="34" t="s">
        <v>45</v>
      </c>
      <c r="F35" s="35" t="n">
        <v>1.0</v>
      </c>
      <c r="G35" s="34" t="s">
        <v>55</v>
      </c>
      <c r="H35" s="34" t="s">
        <v>45</v>
      </c>
      <c r="I35" s="35"/>
      <c r="J35" s="35"/>
      <c r="K35" s="37"/>
    </row>
    <row r="36">
      <c r="A36" s="35" t="s">
        <v>45</v>
      </c>
      <c r="B36" s="34" t="s">
        <v>45</v>
      </c>
      <c r="C36" s="35" t="s">
        <v>45</v>
      </c>
      <c r="D36" s="35" t="s">
        <v>45</v>
      </c>
      <c r="E36" s="34" t="s">
        <v>45</v>
      </c>
      <c r="F36" s="35" t="n">
        <v>2.0</v>
      </c>
      <c r="G36" s="34" t="s">
        <v>56</v>
      </c>
      <c r="H36" s="34" t="s">
        <v>45</v>
      </c>
      <c r="I36" s="35"/>
      <c r="J36" s="35"/>
      <c r="K36" s="37"/>
    </row>
    <row r="37">
      <c r="A37" s="35" t="s">
        <v>45</v>
      </c>
      <c r="B37" s="34" t="s">
        <v>45</v>
      </c>
      <c r="C37" s="35" t="s">
        <v>45</v>
      </c>
      <c r="D37" s="35" t="s">
        <v>45</v>
      </c>
      <c r="E37" s="34" t="s">
        <v>45</v>
      </c>
      <c r="F37" s="35" t="n">
        <v>3.0</v>
      </c>
      <c r="G37" s="34" t="s">
        <v>57</v>
      </c>
      <c r="H37" s="34" t="s">
        <v>45</v>
      </c>
      <c r="I37" s="35"/>
      <c r="J37" s="35"/>
      <c r="K37" s="37"/>
    </row>
    <row r="38">
      <c r="A38" s="35" t="s">
        <v>45</v>
      </c>
      <c r="B38" s="34" t="s">
        <v>45</v>
      </c>
      <c r="C38" s="35" t="s">
        <v>45</v>
      </c>
      <c r="D38" s="35" t="s">
        <v>47</v>
      </c>
      <c r="E38" s="34" t="s">
        <v>58</v>
      </c>
      <c r="F38" s="35" t="s">
        <v>45</v>
      </c>
      <c r="G38" s="34" t="s">
        <v>45</v>
      </c>
      <c r="H38" s="34" t="s">
        <v>45</v>
      </c>
      <c r="I38" s="35" t="n">
        <v>4.0</v>
      </c>
      <c r="J38" s="35"/>
      <c r="K38" s="37" t="n">
        <v>2.0</v>
      </c>
    </row>
    <row r="39">
      <c r="A39" s="35" t="s">
        <v>45</v>
      </c>
      <c r="B39" s="34" t="s">
        <v>45</v>
      </c>
      <c r="C39" s="35" t="s">
        <v>45</v>
      </c>
      <c r="D39" s="35" t="s">
        <v>45</v>
      </c>
      <c r="E39" s="34" t="s">
        <v>45</v>
      </c>
      <c r="F39" s="35" t="n">
        <v>0.0</v>
      </c>
      <c r="G39" s="34" t="s">
        <v>59</v>
      </c>
      <c r="H39" s="34" t="s">
        <v>45</v>
      </c>
      <c r="I39" s="35"/>
      <c r="J39" s="35"/>
      <c r="K39" s="37"/>
    </row>
    <row r="40">
      <c r="A40" s="35" t="s">
        <v>45</v>
      </c>
      <c r="B40" s="34" t="s">
        <v>45</v>
      </c>
      <c r="C40" s="35" t="s">
        <v>45</v>
      </c>
      <c r="D40" s="35" t="s">
        <v>45</v>
      </c>
      <c r="E40" s="34" t="s">
        <v>45</v>
      </c>
      <c r="F40" s="35" t="n">
        <v>1.0</v>
      </c>
      <c r="G40" s="34" t="s">
        <v>60</v>
      </c>
      <c r="H40" s="34" t="s">
        <v>45</v>
      </c>
      <c r="I40" s="35"/>
      <c r="J40" s="35"/>
      <c r="K40" s="37"/>
    </row>
    <row r="41">
      <c r="A41" s="35" t="s">
        <v>45</v>
      </c>
      <c r="B41" s="34" t="s">
        <v>45</v>
      </c>
      <c r="C41" s="35" t="s">
        <v>45</v>
      </c>
      <c r="D41" s="35" t="s">
        <v>45</v>
      </c>
      <c r="E41" s="34" t="s">
        <v>45</v>
      </c>
      <c r="F41" s="35" t="n">
        <v>2.0</v>
      </c>
      <c r="G41" s="34" t="s">
        <v>61</v>
      </c>
      <c r="H41" s="34" t="s">
        <v>45</v>
      </c>
      <c r="I41" s="35"/>
      <c r="J41" s="35"/>
      <c r="K41" s="37"/>
    </row>
    <row r="42">
      <c r="A42" s="35" t="s">
        <v>45</v>
      </c>
      <c r="B42" s="34" t="s">
        <v>45</v>
      </c>
      <c r="C42" s="35" t="s">
        <v>45</v>
      </c>
      <c r="D42" s="35" t="s">
        <v>45</v>
      </c>
      <c r="E42" s="34" t="s">
        <v>45</v>
      </c>
      <c r="F42" s="35" t="n">
        <v>3.0</v>
      </c>
      <c r="G42" s="34" t="s">
        <v>62</v>
      </c>
      <c r="H42" s="34" t="s">
        <v>45</v>
      </c>
      <c r="I42" s="35"/>
      <c r="J42" s="35"/>
      <c r="K42" s="37"/>
    </row>
    <row r="43">
      <c r="A43" s="35" t="s">
        <v>63</v>
      </c>
      <c r="B43" s="34" t="s">
        <v>64</v>
      </c>
      <c r="C43" s="35" t="s">
        <v>46</v>
      </c>
      <c r="D43" s="34" t="s">
        <v>45</v>
      </c>
      <c r="E43" s="34" t="s">
        <v>45</v>
      </c>
      <c r="F43" s="34" t="s">
        <v>45</v>
      </c>
      <c r="G43" s="34" t="s">
        <v>45</v>
      </c>
      <c r="H43" s="34" t="s">
        <v>45</v>
      </c>
      <c r="I43" s="34" t="s">
        <v>45</v>
      </c>
      <c r="J43" s="34" t="s">
        <v>45</v>
      </c>
      <c r="K43" s="34" t="s">
        <v>45</v>
      </c>
    </row>
    <row r="44">
      <c r="A44" s="35" t="s">
        <v>45</v>
      </c>
      <c r="B44" s="34" t="s">
        <v>45</v>
      </c>
      <c r="C44" s="35" t="s">
        <v>45</v>
      </c>
      <c r="D44" s="35" t="s">
        <v>47</v>
      </c>
      <c r="E44" s="34" t="s">
        <v>65</v>
      </c>
      <c r="F44" s="35" t="s">
        <v>45</v>
      </c>
      <c r="G44" s="34" t="s">
        <v>45</v>
      </c>
      <c r="H44" s="34" t="s">
        <v>45</v>
      </c>
      <c r="I44" s="35" t="n">
        <v>4.0</v>
      </c>
      <c r="J44" s="35"/>
      <c r="K44" s="37" t="n">
        <v>1.5</v>
      </c>
    </row>
    <row r="45">
      <c r="A45" s="35" t="s">
        <v>45</v>
      </c>
      <c r="B45" s="34" t="s">
        <v>45</v>
      </c>
      <c r="C45" s="35" t="s">
        <v>45</v>
      </c>
      <c r="D45" s="35" t="s">
        <v>45</v>
      </c>
      <c r="E45" s="34" t="s">
        <v>45</v>
      </c>
      <c r="F45" s="35" t="n">
        <v>0.0</v>
      </c>
      <c r="G45" s="34" t="s">
        <v>66</v>
      </c>
      <c r="H45" s="34" t="s">
        <v>45</v>
      </c>
      <c r="I45" s="35"/>
      <c r="J45" s="35"/>
      <c r="K45" s="37"/>
    </row>
    <row r="46">
      <c r="A46" s="35" t="s">
        <v>45</v>
      </c>
      <c r="B46" s="34" t="s">
        <v>45</v>
      </c>
      <c r="C46" s="35" t="s">
        <v>45</v>
      </c>
      <c r="D46" s="35" t="s">
        <v>45</v>
      </c>
      <c r="E46" s="34" t="s">
        <v>45</v>
      </c>
      <c r="F46" s="35" t="n">
        <v>1.0</v>
      </c>
      <c r="G46" s="34" t="s">
        <v>67</v>
      </c>
      <c r="H46" s="34" t="s">
        <v>45</v>
      </c>
      <c r="I46" s="35"/>
      <c r="J46" s="35"/>
      <c r="K46" s="37"/>
    </row>
    <row r="47">
      <c r="A47" s="35" t="s">
        <v>45</v>
      </c>
      <c r="B47" s="34" t="s">
        <v>45</v>
      </c>
      <c r="C47" s="35" t="s">
        <v>45</v>
      </c>
      <c r="D47" s="35" t="s">
        <v>45</v>
      </c>
      <c r="E47" s="34" t="s">
        <v>45</v>
      </c>
      <c r="F47" s="35" t="n">
        <v>2.0</v>
      </c>
      <c r="G47" s="34" t="s">
        <v>68</v>
      </c>
      <c r="H47" s="34" t="s">
        <v>45</v>
      </c>
      <c r="I47" s="35"/>
      <c r="J47" s="35"/>
      <c r="K47" s="37"/>
    </row>
    <row r="48">
      <c r="A48" s="35" t="s">
        <v>45</v>
      </c>
      <c r="B48" s="34" t="s">
        <v>45</v>
      </c>
      <c r="C48" s="35" t="s">
        <v>45</v>
      </c>
      <c r="D48" s="35" t="s">
        <v>45</v>
      </c>
      <c r="E48" s="34" t="s">
        <v>45</v>
      </c>
      <c r="F48" s="35" t="n">
        <v>3.0</v>
      </c>
      <c r="G48" s="34" t="s">
        <v>69</v>
      </c>
      <c r="H48" s="34" t="s">
        <v>45</v>
      </c>
      <c r="I48" s="35"/>
      <c r="J48" s="35"/>
      <c r="K48" s="37"/>
    </row>
    <row r="49">
      <c r="A49" s="35" t="s">
        <v>45</v>
      </c>
      <c r="B49" s="34" t="s">
        <v>45</v>
      </c>
      <c r="C49" s="35" t="s">
        <v>45</v>
      </c>
      <c r="D49" s="35" t="s">
        <v>47</v>
      </c>
      <c r="E49" s="34" t="s">
        <v>70</v>
      </c>
      <c r="F49" s="35" t="s">
        <v>45</v>
      </c>
      <c r="G49" s="34" t="s">
        <v>45</v>
      </c>
      <c r="H49" s="34" t="s">
        <v>45</v>
      </c>
      <c r="I49" s="35" t="n">
        <v>3.0</v>
      </c>
      <c r="J49" s="35"/>
      <c r="K49" s="37" t="n">
        <v>1.0</v>
      </c>
    </row>
    <row r="50">
      <c r="A50" s="35" t="s">
        <v>45</v>
      </c>
      <c r="B50" s="34" t="s">
        <v>45</v>
      </c>
      <c r="C50" s="35" t="s">
        <v>45</v>
      </c>
      <c r="D50" s="35" t="s">
        <v>45</v>
      </c>
      <c r="E50" s="34" t="s">
        <v>45</v>
      </c>
      <c r="F50" s="35" t="n">
        <v>0.0</v>
      </c>
      <c r="G50" s="34" t="s">
        <v>71</v>
      </c>
      <c r="H50" s="34" t="s">
        <v>45</v>
      </c>
      <c r="I50" s="35"/>
      <c r="J50" s="35"/>
      <c r="K50" s="37"/>
    </row>
    <row r="51">
      <c r="A51" s="35" t="s">
        <v>45</v>
      </c>
      <c r="B51" s="34" t="s">
        <v>45</v>
      </c>
      <c r="C51" s="35" t="s">
        <v>45</v>
      </c>
      <c r="D51" s="35" t="s">
        <v>45</v>
      </c>
      <c r="E51" s="34" t="s">
        <v>45</v>
      </c>
      <c r="F51" s="35" t="n">
        <v>1.0</v>
      </c>
      <c r="G51" s="34" t="s">
        <v>72</v>
      </c>
      <c r="H51" s="34" t="s">
        <v>45</v>
      </c>
      <c r="I51" s="35"/>
      <c r="J51" s="35"/>
      <c r="K51" s="37"/>
    </row>
    <row r="52">
      <c r="A52" s="35" t="s">
        <v>45</v>
      </c>
      <c r="B52" s="34" t="s">
        <v>45</v>
      </c>
      <c r="C52" s="35" t="s">
        <v>45</v>
      </c>
      <c r="D52" s="35" t="s">
        <v>45</v>
      </c>
      <c r="E52" s="34" t="s">
        <v>45</v>
      </c>
      <c r="F52" s="35" t="n">
        <v>2.0</v>
      </c>
      <c r="G52" s="34" t="s">
        <v>73</v>
      </c>
      <c r="H52" s="34" t="s">
        <v>45</v>
      </c>
      <c r="I52" s="35"/>
      <c r="J52" s="35"/>
      <c r="K52" s="37"/>
    </row>
    <row r="53">
      <c r="A53" s="35" t="s">
        <v>45</v>
      </c>
      <c r="B53" s="34" t="s">
        <v>45</v>
      </c>
      <c r="C53" s="35" t="s">
        <v>45</v>
      </c>
      <c r="D53" s="35" t="s">
        <v>45</v>
      </c>
      <c r="E53" s="34" t="s">
        <v>45</v>
      </c>
      <c r="F53" s="35" t="n">
        <v>3.0</v>
      </c>
      <c r="G53" s="34" t="s">
        <v>74</v>
      </c>
      <c r="H53" s="34" t="s">
        <v>45</v>
      </c>
      <c r="I53" s="35"/>
      <c r="J53" s="35"/>
      <c r="K53" s="37"/>
    </row>
    <row r="54">
      <c r="A54" s="35" t="s">
        <v>45</v>
      </c>
      <c r="B54" s="34" t="s">
        <v>45</v>
      </c>
      <c r="C54" s="35" t="s">
        <v>45</v>
      </c>
      <c r="D54" s="35" t="s">
        <v>47</v>
      </c>
      <c r="E54" s="34" t="s">
        <v>75</v>
      </c>
      <c r="F54" s="35" t="s">
        <v>45</v>
      </c>
      <c r="G54" s="34" t="s">
        <v>45</v>
      </c>
      <c r="H54" s="34" t="s">
        <v>45</v>
      </c>
      <c r="I54" s="35" t="n">
        <v>4.0</v>
      </c>
      <c r="J54" s="35"/>
      <c r="K54" s="37" t="n">
        <v>1.5</v>
      </c>
    </row>
    <row r="55">
      <c r="A55" s="35" t="s">
        <v>45</v>
      </c>
      <c r="B55" s="34" t="s">
        <v>45</v>
      </c>
      <c r="C55" s="35" t="s">
        <v>45</v>
      </c>
      <c r="D55" s="35" t="s">
        <v>45</v>
      </c>
      <c r="E55" s="34" t="s">
        <v>45</v>
      </c>
      <c r="F55" s="35" t="n">
        <v>0.0</v>
      </c>
      <c r="G55" s="34" t="s">
        <v>76</v>
      </c>
      <c r="H55" s="34" t="s">
        <v>45</v>
      </c>
      <c r="I55" s="35"/>
      <c r="J55" s="35"/>
      <c r="K55" s="37"/>
    </row>
    <row r="56">
      <c r="A56" s="35" t="s">
        <v>45</v>
      </c>
      <c r="B56" s="34" t="s">
        <v>45</v>
      </c>
      <c r="C56" s="35" t="s">
        <v>45</v>
      </c>
      <c r="D56" s="35" t="s">
        <v>45</v>
      </c>
      <c r="E56" s="34" t="s">
        <v>45</v>
      </c>
      <c r="F56" s="35" t="n">
        <v>1.0</v>
      </c>
      <c r="G56" s="34" t="s">
        <v>77</v>
      </c>
      <c r="H56" s="34" t="s">
        <v>45</v>
      </c>
      <c r="I56" s="35"/>
      <c r="J56" s="35"/>
      <c r="K56" s="37"/>
    </row>
    <row r="57">
      <c r="A57" s="35" t="s">
        <v>45</v>
      </c>
      <c r="B57" s="34" t="s">
        <v>45</v>
      </c>
      <c r="C57" s="35" t="s">
        <v>45</v>
      </c>
      <c r="D57" s="35" t="s">
        <v>45</v>
      </c>
      <c r="E57" s="34" t="s">
        <v>45</v>
      </c>
      <c r="F57" s="35" t="n">
        <v>2.0</v>
      </c>
      <c r="G57" s="34" t="s">
        <v>78</v>
      </c>
      <c r="H57" s="34" t="s">
        <v>45</v>
      </c>
      <c r="I57" s="35"/>
      <c r="J57" s="35"/>
      <c r="K57" s="37"/>
    </row>
    <row r="58">
      <c r="A58" s="35" t="s">
        <v>45</v>
      </c>
      <c r="B58" s="34" t="s">
        <v>45</v>
      </c>
      <c r="C58" s="35" t="s">
        <v>45</v>
      </c>
      <c r="D58" s="35" t="s">
        <v>45</v>
      </c>
      <c r="E58" s="34" t="s">
        <v>45</v>
      </c>
      <c r="F58" s="35" t="n">
        <v>3.0</v>
      </c>
      <c r="G58" s="34" t="s">
        <v>79</v>
      </c>
      <c r="H58" s="34" t="s">
        <v>45</v>
      </c>
      <c r="I58" s="35"/>
      <c r="J58" s="35"/>
      <c r="K58" s="37"/>
    </row>
    <row r="59">
      <c r="A59" s="35" t="s">
        <v>45</v>
      </c>
      <c r="B59" s="34" t="s">
        <v>45</v>
      </c>
      <c r="C59" s="35" t="s">
        <v>45</v>
      </c>
      <c r="D59" s="35" t="s">
        <v>47</v>
      </c>
      <c r="E59" s="34" t="s">
        <v>80</v>
      </c>
      <c r="F59" s="35" t="s">
        <v>45</v>
      </c>
      <c r="G59" s="34" t="s">
        <v>45</v>
      </c>
      <c r="H59" s="34" t="s">
        <v>45</v>
      </c>
      <c r="I59" s="35" t="n">
        <v>4.0</v>
      </c>
      <c r="J59" s="35"/>
      <c r="K59" s="37" t="n">
        <v>2.0</v>
      </c>
    </row>
    <row r="60">
      <c r="A60" s="35" t="s">
        <v>45</v>
      </c>
      <c r="B60" s="34" t="s">
        <v>45</v>
      </c>
      <c r="C60" s="35" t="s">
        <v>45</v>
      </c>
      <c r="D60" s="35" t="s">
        <v>45</v>
      </c>
      <c r="E60" s="34" t="s">
        <v>45</v>
      </c>
      <c r="F60" s="35" t="n">
        <v>0.0</v>
      </c>
      <c r="G60" s="34" t="s">
        <v>76</v>
      </c>
      <c r="H60" s="34" t="s">
        <v>45</v>
      </c>
      <c r="I60" s="35"/>
      <c r="J60" s="35"/>
      <c r="K60" s="37"/>
    </row>
    <row r="61">
      <c r="A61" s="35" t="s">
        <v>45</v>
      </c>
      <c r="B61" s="34" t="s">
        <v>45</v>
      </c>
      <c r="C61" s="35" t="s">
        <v>45</v>
      </c>
      <c r="D61" s="35" t="s">
        <v>45</v>
      </c>
      <c r="E61" s="34" t="s">
        <v>45</v>
      </c>
      <c r="F61" s="35" t="n">
        <v>1.0</v>
      </c>
      <c r="G61" s="34" t="s">
        <v>77</v>
      </c>
      <c r="H61" s="34" t="s">
        <v>45</v>
      </c>
      <c r="I61" s="35"/>
      <c r="J61" s="35"/>
      <c r="K61" s="37"/>
    </row>
    <row r="62">
      <c r="A62" s="35" t="s">
        <v>45</v>
      </c>
      <c r="B62" s="34" t="s">
        <v>45</v>
      </c>
      <c r="C62" s="35" t="s">
        <v>45</v>
      </c>
      <c r="D62" s="35" t="s">
        <v>45</v>
      </c>
      <c r="E62" s="34" t="s">
        <v>45</v>
      </c>
      <c r="F62" s="35" t="n">
        <v>2.0</v>
      </c>
      <c r="G62" s="34" t="s">
        <v>78</v>
      </c>
      <c r="H62" s="34" t="s">
        <v>45</v>
      </c>
      <c r="I62" s="35"/>
      <c r="J62" s="35"/>
      <c r="K62" s="37"/>
    </row>
    <row r="63">
      <c r="A63" s="35" t="s">
        <v>45</v>
      </c>
      <c r="B63" s="34" t="s">
        <v>45</v>
      </c>
      <c r="C63" s="35" t="s">
        <v>45</v>
      </c>
      <c r="D63" s="35" t="s">
        <v>45</v>
      </c>
      <c r="E63" s="34" t="s">
        <v>45</v>
      </c>
      <c r="F63" s="35" t="n">
        <v>3.0</v>
      </c>
      <c r="G63" s="34" t="s">
        <v>79</v>
      </c>
      <c r="H63" s="34" t="s">
        <v>45</v>
      </c>
      <c r="I63" s="35"/>
      <c r="J63" s="35"/>
      <c r="K63" s="37"/>
    </row>
    <row r="64">
      <c r="A64" s="35" t="s">
        <v>81</v>
      </c>
      <c r="B64" s="34" t="s">
        <v>82</v>
      </c>
      <c r="C64" s="35" t="s">
        <v>46</v>
      </c>
      <c r="D64" s="34" t="s">
        <v>45</v>
      </c>
      <c r="E64" s="34" t="s">
        <v>45</v>
      </c>
      <c r="F64" s="34" t="s">
        <v>45</v>
      </c>
      <c r="G64" s="34" t="s">
        <v>45</v>
      </c>
      <c r="H64" s="34" t="s">
        <v>45</v>
      </c>
      <c r="I64" s="34" t="s">
        <v>45</v>
      </c>
      <c r="J64" s="34" t="s">
        <v>45</v>
      </c>
      <c r="K64" s="34" t="s">
        <v>45</v>
      </c>
    </row>
    <row r="65">
      <c r="A65" s="35" t="s">
        <v>45</v>
      </c>
      <c r="B65" s="34" t="s">
        <v>45</v>
      </c>
      <c r="C65" s="35" t="s">
        <v>45</v>
      </c>
      <c r="D65" s="35" t="s">
        <v>83</v>
      </c>
      <c r="E65" s="34" t="s">
        <v>84</v>
      </c>
      <c r="F65" s="35" t="s">
        <v>45</v>
      </c>
      <c r="G65" s="34" t="s">
        <v>85</v>
      </c>
      <c r="H65" s="34" t="s">
        <v>45</v>
      </c>
      <c r="I65" s="35" t="n">
        <v>3.0</v>
      </c>
      <c r="J65" s="35"/>
      <c r="K65" s="37" t="n">
        <v>0.25</v>
      </c>
    </row>
    <row r="66">
      <c r="A66" s="35" t="s">
        <v>45</v>
      </c>
      <c r="B66" s="34" t="s">
        <v>45</v>
      </c>
      <c r="C66" s="35" t="s">
        <v>45</v>
      </c>
      <c r="D66" s="35" t="s">
        <v>83</v>
      </c>
      <c r="E66" s="34" t="s">
        <v>86</v>
      </c>
      <c r="F66" s="35" t="s">
        <v>45</v>
      </c>
      <c r="G66" s="34" t="s">
        <v>87</v>
      </c>
      <c r="H66" s="34" t="s">
        <v>45</v>
      </c>
      <c r="I66" s="35" t="n">
        <v>5.0</v>
      </c>
      <c r="J66" s="35"/>
      <c r="K66" s="37" t="n">
        <v>0.5</v>
      </c>
    </row>
    <row r="67">
      <c r="A67" s="35" t="s">
        <v>45</v>
      </c>
      <c r="B67" s="34" t="s">
        <v>45</v>
      </c>
      <c r="C67" s="35" t="s">
        <v>45</v>
      </c>
      <c r="D67" s="35" t="s">
        <v>83</v>
      </c>
      <c r="E67" s="34" t="s">
        <v>88</v>
      </c>
      <c r="F67" s="35" t="s">
        <v>45</v>
      </c>
      <c r="G67" s="34" t="s">
        <v>89</v>
      </c>
      <c r="H67" s="34" t="s">
        <v>45</v>
      </c>
      <c r="I67" s="35" t="n">
        <v>1.0</v>
      </c>
      <c r="J67" s="35"/>
      <c r="K67" s="37" t="n">
        <v>0.25</v>
      </c>
    </row>
    <row r="68">
      <c r="A68" s="35" t="s">
        <v>45</v>
      </c>
      <c r="B68" s="34" t="s">
        <v>45</v>
      </c>
      <c r="C68" s="35" t="s">
        <v>45</v>
      </c>
      <c r="D68" s="35" t="s">
        <v>83</v>
      </c>
      <c r="E68" s="34" t="s">
        <v>90</v>
      </c>
      <c r="F68" s="35" t="s">
        <v>45</v>
      </c>
      <c r="G68" s="34" t="s">
        <v>91</v>
      </c>
      <c r="H68" s="34" t="s">
        <v>45</v>
      </c>
      <c r="I68" s="35" t="n">
        <v>1.0</v>
      </c>
      <c r="J68" s="35"/>
      <c r="K68" s="37" t="n">
        <v>0.5</v>
      </c>
    </row>
    <row r="69">
      <c r="A69" s="35" t="s">
        <v>92</v>
      </c>
      <c r="B69" s="34" t="s">
        <v>93</v>
      </c>
      <c r="C69" s="35" t="s">
        <v>46</v>
      </c>
      <c r="D69" s="34" t="s">
        <v>45</v>
      </c>
      <c r="E69" s="34" t="s">
        <v>45</v>
      </c>
      <c r="F69" s="34" t="s">
        <v>45</v>
      </c>
      <c r="G69" s="34" t="s">
        <v>45</v>
      </c>
      <c r="H69" s="34" t="s">
        <v>45</v>
      </c>
      <c r="I69" s="34" t="s">
        <v>45</v>
      </c>
      <c r="J69" s="34" t="s">
        <v>45</v>
      </c>
      <c r="K69" s="34" t="s">
        <v>45</v>
      </c>
    </row>
    <row r="70">
      <c r="A70" s="35" t="s">
        <v>45</v>
      </c>
      <c r="B70" s="34" t="s">
        <v>45</v>
      </c>
      <c r="C70" s="35" t="s">
        <v>45</v>
      </c>
      <c r="D70" s="35" t="s">
        <v>47</v>
      </c>
      <c r="E70" s="34" t="s">
        <v>94</v>
      </c>
      <c r="F70" s="35" t="s">
        <v>45</v>
      </c>
      <c r="G70" s="34" t="s">
        <v>45</v>
      </c>
      <c r="H70" s="34" t="s">
        <v>45</v>
      </c>
      <c r="I70" s="35" t="n">
        <v>1.0</v>
      </c>
      <c r="J70" s="35"/>
      <c r="K70" s="37" t="n">
        <v>1.0</v>
      </c>
    </row>
    <row r="71">
      <c r="A71" s="35" t="s">
        <v>45</v>
      </c>
      <c r="B71" s="34" t="s">
        <v>45</v>
      </c>
      <c r="C71" s="35" t="s">
        <v>45</v>
      </c>
      <c r="D71" s="35" t="s">
        <v>45</v>
      </c>
      <c r="E71" s="34" t="s">
        <v>45</v>
      </c>
      <c r="F71" s="35" t="n">
        <v>0.0</v>
      </c>
      <c r="G71" s="34" t="s">
        <v>95</v>
      </c>
      <c r="H71" s="34" t="s">
        <v>45</v>
      </c>
      <c r="I71" s="35"/>
      <c r="J71" s="35"/>
      <c r="K71" s="37"/>
    </row>
    <row r="72">
      <c r="A72" s="35" t="s">
        <v>45</v>
      </c>
      <c r="B72" s="34" t="s">
        <v>45</v>
      </c>
      <c r="C72" s="35" t="s">
        <v>45</v>
      </c>
      <c r="D72" s="35" t="s">
        <v>45</v>
      </c>
      <c r="E72" s="34" t="s">
        <v>45</v>
      </c>
      <c r="F72" s="35" t="n">
        <v>1.0</v>
      </c>
      <c r="G72" s="34" t="s">
        <v>96</v>
      </c>
      <c r="H72" s="34" t="s">
        <v>45</v>
      </c>
      <c r="I72" s="35"/>
      <c r="J72" s="35"/>
      <c r="K72" s="37"/>
    </row>
    <row r="73">
      <c r="A73" s="35" t="s">
        <v>45</v>
      </c>
      <c r="B73" s="34" t="s">
        <v>45</v>
      </c>
      <c r="C73" s="35" t="s">
        <v>45</v>
      </c>
      <c r="D73" s="35" t="s">
        <v>45</v>
      </c>
      <c r="E73" s="34" t="s">
        <v>45</v>
      </c>
      <c r="F73" s="35" t="n">
        <v>2.0</v>
      </c>
      <c r="G73" s="34" t="s">
        <v>97</v>
      </c>
      <c r="H73" s="34" t="s">
        <v>45</v>
      </c>
      <c r="I73" s="35"/>
      <c r="J73" s="35"/>
      <c r="K73" s="37"/>
    </row>
    <row r="74">
      <c r="A74" s="35" t="s">
        <v>45</v>
      </c>
      <c r="B74" s="34" t="s">
        <v>45</v>
      </c>
      <c r="C74" s="35" t="s">
        <v>45</v>
      </c>
      <c r="D74" s="35" t="s">
        <v>45</v>
      </c>
      <c r="E74" s="34" t="s">
        <v>45</v>
      </c>
      <c r="F74" s="35" t="n">
        <v>3.0</v>
      </c>
      <c r="G74" s="34" t="s">
        <v>98</v>
      </c>
      <c r="H74" s="34" t="s">
        <v>45</v>
      </c>
      <c r="I74" s="35"/>
      <c r="J74" s="35"/>
      <c r="K74" s="37"/>
    </row>
    <row r="75">
      <c r="A75" s="35" t="s">
        <v>45</v>
      </c>
      <c r="B75" s="34" t="s">
        <v>45</v>
      </c>
      <c r="C75" s="35" t="s">
        <v>45</v>
      </c>
      <c r="D75" s="35" t="s">
        <v>47</v>
      </c>
      <c r="E75" s="34" t="s">
        <v>99</v>
      </c>
      <c r="F75" s="35" t="s">
        <v>45</v>
      </c>
      <c r="G75" s="34" t="s">
        <v>45</v>
      </c>
      <c r="H75" s="34" t="s">
        <v>45</v>
      </c>
      <c r="I75" s="35" t="n">
        <v>2.0</v>
      </c>
      <c r="J75" s="35"/>
      <c r="K75" s="37" t="n">
        <v>0.75</v>
      </c>
    </row>
    <row r="76">
      <c r="A76" s="35" t="s">
        <v>45</v>
      </c>
      <c r="B76" s="34" t="s">
        <v>45</v>
      </c>
      <c r="C76" s="35" t="s">
        <v>45</v>
      </c>
      <c r="D76" s="35" t="s">
        <v>45</v>
      </c>
      <c r="E76" s="34" t="s">
        <v>45</v>
      </c>
      <c r="F76" s="35" t="n">
        <v>0.0</v>
      </c>
      <c r="G76" s="34" t="s">
        <v>100</v>
      </c>
      <c r="H76" s="34" t="s">
        <v>45</v>
      </c>
      <c r="I76" s="35"/>
      <c r="J76" s="35"/>
      <c r="K76" s="37"/>
    </row>
    <row r="77">
      <c r="A77" s="35" t="s">
        <v>45</v>
      </c>
      <c r="B77" s="34" t="s">
        <v>45</v>
      </c>
      <c r="C77" s="35" t="s">
        <v>45</v>
      </c>
      <c r="D77" s="35" t="s">
        <v>45</v>
      </c>
      <c r="E77" s="34" t="s">
        <v>45</v>
      </c>
      <c r="F77" s="35" t="n">
        <v>1.0</v>
      </c>
      <c r="G77" s="34" t="s">
        <v>101</v>
      </c>
      <c r="H77" s="34" t="s">
        <v>45</v>
      </c>
      <c r="I77" s="35"/>
      <c r="J77" s="35"/>
      <c r="K77" s="37"/>
    </row>
    <row r="78">
      <c r="A78" s="35" t="s">
        <v>45</v>
      </c>
      <c r="B78" s="34" t="s">
        <v>45</v>
      </c>
      <c r="C78" s="35" t="s">
        <v>45</v>
      </c>
      <c r="D78" s="35" t="s">
        <v>45</v>
      </c>
      <c r="E78" s="34" t="s">
        <v>45</v>
      </c>
      <c r="F78" s="35" t="n">
        <v>2.0</v>
      </c>
      <c r="G78" s="34" t="s">
        <v>102</v>
      </c>
      <c r="H78" s="34" t="s">
        <v>45</v>
      </c>
      <c r="I78" s="35"/>
      <c r="J78" s="35"/>
      <c r="K78" s="37"/>
    </row>
    <row r="79">
      <c r="A79" s="35" t="s">
        <v>45</v>
      </c>
      <c r="B79" s="34" t="s">
        <v>45</v>
      </c>
      <c r="C79" s="35" t="s">
        <v>45</v>
      </c>
      <c r="D79" s="35" t="s">
        <v>45</v>
      </c>
      <c r="E79" s="34" t="s">
        <v>45</v>
      </c>
      <c r="F79" s="35" t="n">
        <v>3.0</v>
      </c>
      <c r="G79" s="34" t="s">
        <v>103</v>
      </c>
      <c r="H79" s="34" t="s">
        <v>45</v>
      </c>
      <c r="I79" s="35"/>
      <c r="J79" s="35"/>
      <c r="K79" s="37"/>
    </row>
    <row r="80">
      <c r="A80" s="35" t="s">
        <v>45</v>
      </c>
      <c r="B80" s="34" t="s">
        <v>45</v>
      </c>
      <c r="C80" s="35" t="s">
        <v>45</v>
      </c>
      <c r="D80" s="35" t="s">
        <v>47</v>
      </c>
      <c r="E80" s="34" t="s">
        <v>104</v>
      </c>
      <c r="F80" s="35" t="s">
        <v>45</v>
      </c>
      <c r="G80" s="34" t="s">
        <v>45</v>
      </c>
      <c r="H80" s="34" t="s">
        <v>45</v>
      </c>
      <c r="I80" s="35" t="n">
        <v>2.0</v>
      </c>
      <c r="J80" s="35"/>
      <c r="K80" s="37" t="n">
        <v>1.0</v>
      </c>
    </row>
    <row r="81">
      <c r="A81" s="35" t="s">
        <v>45</v>
      </c>
      <c r="B81" s="34" t="s">
        <v>45</v>
      </c>
      <c r="C81" s="35" t="s">
        <v>45</v>
      </c>
      <c r="D81" s="35" t="s">
        <v>45</v>
      </c>
      <c r="E81" s="34" t="s">
        <v>45</v>
      </c>
      <c r="F81" s="35" t="n">
        <v>0.0</v>
      </c>
      <c r="G81" s="34" t="s">
        <v>100</v>
      </c>
      <c r="H81" s="34" t="s">
        <v>45</v>
      </c>
      <c r="I81" s="35"/>
      <c r="J81" s="35"/>
      <c r="K81" s="37"/>
    </row>
    <row r="82">
      <c r="A82" s="35" t="s">
        <v>45</v>
      </c>
      <c r="B82" s="34" t="s">
        <v>45</v>
      </c>
      <c r="C82" s="35" t="s">
        <v>45</v>
      </c>
      <c r="D82" s="35" t="s">
        <v>45</v>
      </c>
      <c r="E82" s="34" t="s">
        <v>45</v>
      </c>
      <c r="F82" s="35" t="n">
        <v>1.0</v>
      </c>
      <c r="G82" s="34" t="s">
        <v>101</v>
      </c>
      <c r="H82" s="34" t="s">
        <v>45</v>
      </c>
      <c r="I82" s="35"/>
      <c r="J82" s="35"/>
      <c r="K82" s="37"/>
    </row>
    <row r="83">
      <c r="A83" s="35" t="s">
        <v>45</v>
      </c>
      <c r="B83" s="34" t="s">
        <v>45</v>
      </c>
      <c r="C83" s="35" t="s">
        <v>45</v>
      </c>
      <c r="D83" s="35" t="s">
        <v>45</v>
      </c>
      <c r="E83" s="34" t="s">
        <v>45</v>
      </c>
      <c r="F83" s="35" t="n">
        <v>2.0</v>
      </c>
      <c r="G83" s="34" t="s">
        <v>105</v>
      </c>
      <c r="H83" s="34" t="s">
        <v>45</v>
      </c>
      <c r="I83" s="35"/>
      <c r="J83" s="35"/>
      <c r="K83" s="37"/>
    </row>
    <row r="84">
      <c r="A84" s="35" t="s">
        <v>45</v>
      </c>
      <c r="B84" s="34" t="s">
        <v>45</v>
      </c>
      <c r="C84" s="35" t="s">
        <v>45</v>
      </c>
      <c r="D84" s="35" t="s">
        <v>45</v>
      </c>
      <c r="E84" s="34" t="s">
        <v>45</v>
      </c>
      <c r="F84" s="35" t="n">
        <v>3.0</v>
      </c>
      <c r="G84" s="34" t="s">
        <v>106</v>
      </c>
      <c r="H84" s="34" t="s">
        <v>45</v>
      </c>
      <c r="I84" s="35"/>
      <c r="J84" s="35"/>
      <c r="K84" s="37"/>
    </row>
    <row r="85">
      <c r="A85" s="35" t="s">
        <v>107</v>
      </c>
      <c r="B85" s="34" t="s">
        <v>108</v>
      </c>
      <c r="C85" s="35" t="s">
        <v>46</v>
      </c>
      <c r="D85" s="34" t="s">
        <v>45</v>
      </c>
      <c r="E85" s="34" t="s">
        <v>45</v>
      </c>
      <c r="F85" s="34" t="s">
        <v>45</v>
      </c>
      <c r="G85" s="34" t="s">
        <v>45</v>
      </c>
      <c r="H85" s="34" t="s">
        <v>45</v>
      </c>
      <c r="I85" s="34" t="s">
        <v>45</v>
      </c>
      <c r="J85" s="34" t="s">
        <v>45</v>
      </c>
      <c r="K85" s="34" t="s">
        <v>45</v>
      </c>
    </row>
    <row r="86">
      <c r="A86" s="35" t="s">
        <v>45</v>
      </c>
      <c r="B86" s="34" t="s">
        <v>45</v>
      </c>
      <c r="C86" s="35" t="s">
        <v>45</v>
      </c>
      <c r="D86" s="35" t="s">
        <v>83</v>
      </c>
      <c r="E86" s="34" t="s">
        <v>109</v>
      </c>
      <c r="F86" s="35" t="s">
        <v>45</v>
      </c>
      <c r="G86" s="34" t="s">
        <v>110</v>
      </c>
      <c r="H86" s="34" t="s">
        <v>45</v>
      </c>
      <c r="I86" s="35" t="n">
        <v>3.0</v>
      </c>
      <c r="J86" s="35"/>
      <c r="K86" s="37" t="n">
        <v>0.5</v>
      </c>
    </row>
    <row r="87">
      <c r="A87" s="35" t="s">
        <v>45</v>
      </c>
      <c r="B87" s="34" t="s">
        <v>45</v>
      </c>
      <c r="C87" s="35" t="s">
        <v>45</v>
      </c>
      <c r="D87" s="35" t="s">
        <v>83</v>
      </c>
      <c r="E87" s="34" t="s">
        <v>111</v>
      </c>
      <c r="F87" s="35" t="s">
        <v>45</v>
      </c>
      <c r="G87" s="34" t="s">
        <v>112</v>
      </c>
      <c r="H87" s="34" t="s">
        <v>45</v>
      </c>
      <c r="I87" s="35" t="n">
        <v>5.0</v>
      </c>
      <c r="J87" s="35"/>
      <c r="K87" s="37" t="n">
        <v>1.5</v>
      </c>
    </row>
    <row r="88">
      <c r="A88" s="35" t="s">
        <v>45</v>
      </c>
      <c r="B88" s="34" t="s">
        <v>45</v>
      </c>
      <c r="C88" s="35" t="s">
        <v>45</v>
      </c>
      <c r="D88" s="35" t="s">
        <v>83</v>
      </c>
      <c r="E88" s="34" t="s">
        <v>113</v>
      </c>
      <c r="F88" s="35" t="s">
        <v>45</v>
      </c>
      <c r="G88" s="34" t="s">
        <v>114</v>
      </c>
      <c r="H88" s="34" t="s">
        <v>45</v>
      </c>
      <c r="I88" s="35" t="n">
        <v>5.0</v>
      </c>
      <c r="J88" s="35"/>
      <c r="K88" s="37" t="n">
        <v>1.0</v>
      </c>
    </row>
    <row r="89">
      <c r="A89" s="35" t="s">
        <v>45</v>
      </c>
      <c r="B89" s="34" t="s">
        <v>45</v>
      </c>
      <c r="C89" s="35" t="s">
        <v>45</v>
      </c>
      <c r="D89" s="35" t="s">
        <v>83</v>
      </c>
      <c r="E89" s="34" t="s">
        <v>115</v>
      </c>
      <c r="F89" s="35" t="s">
        <v>45</v>
      </c>
      <c r="G89" s="34" t="s">
        <v>116</v>
      </c>
      <c r="H89" s="34" t="s">
        <v>45</v>
      </c>
      <c r="I89" s="35" t="n">
        <v>1.0</v>
      </c>
      <c r="J89" s="35"/>
      <c r="K89" s="37" t="n">
        <v>0.25</v>
      </c>
    </row>
    <row r="90">
      <c r="A90" s="35" t="s">
        <v>45</v>
      </c>
      <c r="B90" s="34" t="s">
        <v>45</v>
      </c>
      <c r="C90" s="35" t="s">
        <v>45</v>
      </c>
      <c r="D90" s="35" t="s">
        <v>83</v>
      </c>
      <c r="E90" s="34" t="s">
        <v>117</v>
      </c>
      <c r="F90" s="35" t="s">
        <v>45</v>
      </c>
      <c r="G90" s="34" t="s">
        <v>118</v>
      </c>
      <c r="H90" s="34" t="s">
        <v>45</v>
      </c>
      <c r="I90" s="35" t="n">
        <v>5.0</v>
      </c>
      <c r="J90" s="35"/>
      <c r="K90" s="37" t="n">
        <v>0.25</v>
      </c>
    </row>
    <row r="91">
      <c r="A91" s="35" t="s">
        <v>119</v>
      </c>
      <c r="B91" s="34" t="s">
        <v>120</v>
      </c>
      <c r="C91" s="35" t="s">
        <v>46</v>
      </c>
      <c r="D91" s="34" t="s">
        <v>45</v>
      </c>
      <c r="E91" s="34" t="s">
        <v>45</v>
      </c>
      <c r="F91" s="34" t="s">
        <v>45</v>
      </c>
      <c r="G91" s="34" t="s">
        <v>45</v>
      </c>
      <c r="H91" s="34" t="s">
        <v>45</v>
      </c>
      <c r="I91" s="34" t="s">
        <v>45</v>
      </c>
      <c r="J91" s="34" t="s">
        <v>45</v>
      </c>
      <c r="K91" s="34" t="s">
        <v>45</v>
      </c>
    </row>
    <row r="92">
      <c r="A92" s="35" t="s">
        <v>45</v>
      </c>
      <c r="B92" s="34" t="s">
        <v>45</v>
      </c>
      <c r="C92" s="35" t="s">
        <v>45</v>
      </c>
      <c r="D92" s="35" t="s">
        <v>83</v>
      </c>
      <c r="E92" s="34" t="s">
        <v>121</v>
      </c>
      <c r="F92" s="35" t="s">
        <v>45</v>
      </c>
      <c r="G92" s="34" t="s">
        <v>122</v>
      </c>
      <c r="H92" s="34" t="s">
        <v>45</v>
      </c>
      <c r="I92" s="35" t="n">
        <v>5.0</v>
      </c>
      <c r="J92" s="35"/>
      <c r="K92" s="37" t="n">
        <v>0.75</v>
      </c>
    </row>
    <row r="93">
      <c r="A93" s="35" t="s">
        <v>45</v>
      </c>
      <c r="B93" s="34" t="s">
        <v>45</v>
      </c>
      <c r="C93" s="35" t="s">
        <v>45</v>
      </c>
      <c r="D93" s="35" t="s">
        <v>83</v>
      </c>
      <c r="E93" s="34" t="s">
        <v>123</v>
      </c>
      <c r="F93" s="35" t="s">
        <v>45</v>
      </c>
      <c r="G93" s="34" t="s">
        <v>124</v>
      </c>
      <c r="H93" s="34" t="s">
        <v>45</v>
      </c>
      <c r="I93" s="35" t="n">
        <v>5.0</v>
      </c>
      <c r="J93" s="35"/>
      <c r="K93" s="37" t="n">
        <v>0.5</v>
      </c>
    </row>
    <row r="94">
      <c r="A94" s="35" t="s">
        <v>45</v>
      </c>
      <c r="B94" s="34" t="s">
        <v>45</v>
      </c>
      <c r="C94" s="35" t="s">
        <v>45</v>
      </c>
      <c r="D94" s="35" t="s">
        <v>83</v>
      </c>
      <c r="E94" s="34" t="s">
        <v>125</v>
      </c>
      <c r="F94" s="35" t="s">
        <v>45</v>
      </c>
      <c r="G94" s="34" t="s">
        <v>126</v>
      </c>
      <c r="H94" s="34" t="s">
        <v>45</v>
      </c>
      <c r="I94" s="35" t="n">
        <v>1.0</v>
      </c>
      <c r="J94" s="35"/>
      <c r="K94" s="37" t="n">
        <v>0.25</v>
      </c>
    </row>
    <row r="95">
      <c r="A95" s="35" t="s">
        <v>45</v>
      </c>
      <c r="B95" s="34" t="s">
        <v>45</v>
      </c>
      <c r="C95" s="35" t="s">
        <v>45</v>
      </c>
      <c r="D95" s="35" t="s">
        <v>83</v>
      </c>
      <c r="E95" s="34" t="s">
        <v>127</v>
      </c>
      <c r="F95" s="35" t="s">
        <v>45</v>
      </c>
      <c r="G95" s="34" t="s">
        <v>128</v>
      </c>
      <c r="H95" s="34" t="s">
        <v>45</v>
      </c>
      <c r="I95" s="35" t="n">
        <v>5.0</v>
      </c>
      <c r="J95" s="35"/>
      <c r="K95" s="37" t="n">
        <v>0.5</v>
      </c>
    </row>
    <row r="96">
      <c r="A96" s="35" t="s">
        <v>45</v>
      </c>
      <c r="B96" s="34" t="s">
        <v>45</v>
      </c>
      <c r="C96" s="35" t="s">
        <v>45</v>
      </c>
      <c r="D96" s="35" t="s">
        <v>83</v>
      </c>
      <c r="E96" s="34" t="s">
        <v>129</v>
      </c>
      <c r="F96" s="35" t="s">
        <v>45</v>
      </c>
      <c r="G96" s="34" t="s">
        <v>130</v>
      </c>
      <c r="H96" s="34" t="s">
        <v>45</v>
      </c>
      <c r="I96" s="35" t="n">
        <v>5.0</v>
      </c>
      <c r="J96" s="35"/>
      <c r="K96" s="37" t="n">
        <v>0.25</v>
      </c>
    </row>
    <row r="97">
      <c r="A97" s="35" t="s">
        <v>131</v>
      </c>
      <c r="B97" s="34" t="s">
        <v>132</v>
      </c>
      <c r="C97" s="35" t="s">
        <v>46</v>
      </c>
      <c r="D97" s="34" t="s">
        <v>45</v>
      </c>
      <c r="E97" s="34" t="s">
        <v>45</v>
      </c>
      <c r="F97" s="34" t="s">
        <v>45</v>
      </c>
      <c r="G97" s="34" t="s">
        <v>45</v>
      </c>
      <c r="H97" s="34" t="s">
        <v>45</v>
      </c>
      <c r="I97" s="34" t="s">
        <v>45</v>
      </c>
      <c r="J97" s="34" t="s">
        <v>45</v>
      </c>
      <c r="K97" s="34" t="s">
        <v>45</v>
      </c>
    </row>
    <row r="98">
      <c r="A98" s="35" t="s">
        <v>45</v>
      </c>
      <c r="B98" s="34" t="s">
        <v>45</v>
      </c>
      <c r="C98" s="35" t="s">
        <v>45</v>
      </c>
      <c r="D98" s="35" t="s">
        <v>83</v>
      </c>
      <c r="E98" s="34" t="s">
        <v>133</v>
      </c>
      <c r="F98" s="35" t="s">
        <v>45</v>
      </c>
      <c r="G98" s="34" t="s">
        <v>134</v>
      </c>
      <c r="H98" s="34" t="s">
        <v>45</v>
      </c>
      <c r="I98" s="35" t="n">
        <v>5.0</v>
      </c>
      <c r="J98" s="35"/>
      <c r="K98" s="37" t="n">
        <v>0.25</v>
      </c>
    </row>
    <row r="99">
      <c r="A99" s="35" t="s">
        <v>45</v>
      </c>
      <c r="B99" s="34" t="s">
        <v>45</v>
      </c>
      <c r="C99" s="35" t="s">
        <v>45</v>
      </c>
      <c r="D99" s="35" t="s">
        <v>83</v>
      </c>
      <c r="E99" s="34" t="s">
        <v>135</v>
      </c>
      <c r="F99" s="35" t="s">
        <v>45</v>
      </c>
      <c r="G99" s="34" t="s">
        <v>136</v>
      </c>
      <c r="H99" s="34" t="s">
        <v>45</v>
      </c>
      <c r="I99" s="35" t="n">
        <v>5.0</v>
      </c>
      <c r="J99" s="35"/>
      <c r="K99" s="37" t="n">
        <v>0.5</v>
      </c>
    </row>
    <row r="100">
      <c r="A100" s="35" t="s">
        <v>45</v>
      </c>
      <c r="B100" s="34" t="s">
        <v>45</v>
      </c>
      <c r="C100" s="35" t="s">
        <v>45</v>
      </c>
      <c r="D100" s="35" t="s">
        <v>83</v>
      </c>
      <c r="E100" s="34" t="s">
        <v>137</v>
      </c>
      <c r="F100" s="35" t="s">
        <v>45</v>
      </c>
      <c r="G100" s="34" t="s">
        <v>138</v>
      </c>
      <c r="H100" s="34" t="s">
        <v>45</v>
      </c>
      <c r="I100" s="35" t="n">
        <v>5.0</v>
      </c>
      <c r="J100" s="35"/>
      <c r="K100" s="37" t="n">
        <v>0.25</v>
      </c>
    </row>
    <row r="101">
      <c r="A101" s="35" t="s">
        <v>45</v>
      </c>
      <c r="B101" s="34" t="s">
        <v>45</v>
      </c>
      <c r="C101" s="35" t="s">
        <v>45</v>
      </c>
      <c r="D101" s="35" t="s">
        <v>83</v>
      </c>
      <c r="E101" s="34" t="s">
        <v>139</v>
      </c>
      <c r="F101" s="35" t="s">
        <v>45</v>
      </c>
      <c r="G101" s="34" t="s">
        <v>140</v>
      </c>
      <c r="H101" s="34" t="s">
        <v>45</v>
      </c>
      <c r="I101" s="35" t="n">
        <v>5.0</v>
      </c>
      <c r="J101" s="35"/>
      <c r="K101" s="37" t="n">
        <v>0.5</v>
      </c>
    </row>
    <row r="102">
      <c r="A102" s="35" t="s">
        <v>141</v>
      </c>
      <c r="B102" s="34" t="s">
        <v>142</v>
      </c>
      <c r="C102" s="35" t="s">
        <v>46</v>
      </c>
      <c r="D102" s="34" t="s">
        <v>45</v>
      </c>
      <c r="E102" s="34" t="s">
        <v>45</v>
      </c>
      <c r="F102" s="34" t="s">
        <v>45</v>
      </c>
      <c r="G102" s="34" t="s">
        <v>45</v>
      </c>
      <c r="H102" s="34" t="s">
        <v>45</v>
      </c>
      <c r="I102" s="34" t="s">
        <v>45</v>
      </c>
      <c r="J102" s="34" t="s">
        <v>45</v>
      </c>
      <c r="K102" s="34" t="s">
        <v>45</v>
      </c>
    </row>
    <row r="103">
      <c r="A103" s="35" t="s">
        <v>45</v>
      </c>
      <c r="B103" s="34" t="s">
        <v>45</v>
      </c>
      <c r="C103" s="35" t="s">
        <v>45</v>
      </c>
      <c r="D103" s="35" t="s">
        <v>83</v>
      </c>
      <c r="E103" s="34" t="s">
        <v>143</v>
      </c>
      <c r="F103" s="35" t="s">
        <v>45</v>
      </c>
      <c r="G103" s="34" t="s">
        <v>144</v>
      </c>
      <c r="H103" s="34" t="s">
        <v>45</v>
      </c>
      <c r="I103" s="35" t="n">
        <v>3.0</v>
      </c>
      <c r="J103" s="35"/>
      <c r="K103" s="37" t="n">
        <v>0.25</v>
      </c>
    </row>
    <row r="104">
      <c r="A104" s="35" t="s">
        <v>45</v>
      </c>
      <c r="B104" s="34" t="s">
        <v>45</v>
      </c>
      <c r="C104" s="35" t="s">
        <v>45</v>
      </c>
      <c r="D104" s="35" t="s">
        <v>83</v>
      </c>
      <c r="E104" s="34" t="s">
        <v>145</v>
      </c>
      <c r="F104" s="35" t="s">
        <v>45</v>
      </c>
      <c r="G104" s="34" t="s">
        <v>146</v>
      </c>
      <c r="H104" s="34" t="s">
        <v>45</v>
      </c>
      <c r="I104" s="35" t="n">
        <v>5.0</v>
      </c>
      <c r="J104" s="35"/>
      <c r="K104" s="37" t="n">
        <v>0.5</v>
      </c>
    </row>
    <row r="105">
      <c r="A105" s="35" t="s">
        <v>45</v>
      </c>
      <c r="B105" s="34" t="s">
        <v>45</v>
      </c>
      <c r="C105" s="35" t="s">
        <v>45</v>
      </c>
      <c r="D105" s="35" t="s">
        <v>83</v>
      </c>
      <c r="E105" s="34" t="s">
        <v>147</v>
      </c>
      <c r="F105" s="35" t="s">
        <v>45</v>
      </c>
      <c r="G105" s="34" t="s">
        <v>148</v>
      </c>
      <c r="H105" s="34" t="s">
        <v>45</v>
      </c>
      <c r="I105" s="35" t="n">
        <v>5.0</v>
      </c>
      <c r="J105" s="35"/>
      <c r="K105" s="37" t="n">
        <v>1.5</v>
      </c>
    </row>
    <row r="106">
      <c r="A106" s="35" t="s">
        <v>45</v>
      </c>
      <c r="B106" s="34" t="s">
        <v>45</v>
      </c>
      <c r="C106" s="35" t="s">
        <v>45</v>
      </c>
      <c r="D106" s="35" t="s">
        <v>83</v>
      </c>
      <c r="E106" s="34" t="s">
        <v>149</v>
      </c>
      <c r="F106" s="35" t="s">
        <v>45</v>
      </c>
      <c r="G106" s="34" t="s">
        <v>45</v>
      </c>
      <c r="H106" s="34" t="s">
        <v>45</v>
      </c>
      <c r="I106" s="35" t="n">
        <v>1.0</v>
      </c>
      <c r="J106" s="35"/>
      <c r="K106" s="37" t="n">
        <v>0.5</v>
      </c>
    </row>
    <row r="107">
      <c r="A107" s="35" t="s">
        <v>45</v>
      </c>
      <c r="B107" s="34" t="s">
        <v>45</v>
      </c>
      <c r="C107" s="35" t="s">
        <v>45</v>
      </c>
      <c r="D107" s="35" t="s">
        <v>83</v>
      </c>
      <c r="E107" s="34" t="s">
        <v>150</v>
      </c>
      <c r="F107" s="35" t="s">
        <v>45</v>
      </c>
      <c r="G107" s="34" t="s">
        <v>151</v>
      </c>
      <c r="H107" s="34" t="s">
        <v>45</v>
      </c>
      <c r="I107" s="35" t="n">
        <v>3.0</v>
      </c>
      <c r="J107" s="35"/>
      <c r="K107" s="37" t="n">
        <v>0.25</v>
      </c>
    </row>
    <row r="108">
      <c r="A108" s="35" t="s">
        <v>45</v>
      </c>
      <c r="B108" s="34" t="s">
        <v>45</v>
      </c>
      <c r="C108" s="35" t="s">
        <v>45</v>
      </c>
      <c r="D108" s="35" t="s">
        <v>45</v>
      </c>
      <c r="E108" s="34" t="s">
        <v>45</v>
      </c>
      <c r="F108" s="35" t="s">
        <v>45</v>
      </c>
      <c r="G108" s="34" t="s">
        <v>45</v>
      </c>
      <c r="H108" s="34" t="s">
        <v>45</v>
      </c>
      <c r="I108" s="35"/>
      <c r="J108" s="35"/>
      <c r="K108" s="37"/>
    </row>
    <row r="109">
      <c r="A109" s="35" t="s">
        <v>45</v>
      </c>
      <c r="B109" s="34" t="s">
        <v>45</v>
      </c>
      <c r="C109" s="35" t="s">
        <v>45</v>
      </c>
      <c r="D109" s="35" t="s">
        <v>45</v>
      </c>
      <c r="E109" s="34" t="s">
        <v>45</v>
      </c>
      <c r="F109" s="35" t="s">
        <v>45</v>
      </c>
      <c r="G109" s="34" t="s">
        <v>45</v>
      </c>
      <c r="H109" s="34" t="s">
        <v>45</v>
      </c>
      <c r="I109" s="35"/>
      <c r="J109" s="35"/>
      <c r="K109" s="37"/>
    </row>
    <row r="110">
      <c r="A110" s="44" t="s">
        <v>15</v>
      </c>
      <c r="B110" s="45" t="s">
        <v>16</v>
      </c>
      <c r="C110" s="46" t="s">
        <v>10</v>
      </c>
      <c r="D110" s="47" t="s">
        <v>6</v>
      </c>
      <c r="E110" s="48" t="s">
        <v>1</v>
      </c>
      <c r="F110" s="49" t="s">
        <v>2</v>
      </c>
      <c r="G110" s="50" t="s">
        <v>8</v>
      </c>
      <c r="H110" s="51" t="s">
        <v>9</v>
      </c>
      <c r="I110" s="52" t="s">
        <v>23</v>
      </c>
      <c r="J110" s="53" t="s">
        <v>11</v>
      </c>
      <c r="K110" s="54" t="s">
        <v>3</v>
      </c>
      <c r="L110" s="55" t="s">
        <v>152</v>
      </c>
      <c r="M110" s="56" t="s">
        <v>4</v>
      </c>
      <c r="N110" s="57">
        <f>SUM(K111:K204)</f>
      </c>
    </row>
    <row r="111">
      <c r="A111" s="35" t="s">
        <v>153</v>
      </c>
      <c r="B111" s="34" t="s">
        <v>154</v>
      </c>
      <c r="C111" s="35" t="s">
        <v>155</v>
      </c>
      <c r="D111" s="34" t="s">
        <v>45</v>
      </c>
      <c r="E111" s="34" t="s">
        <v>45</v>
      </c>
      <c r="F111" s="34" t="s">
        <v>45</v>
      </c>
      <c r="G111" s="34" t="s">
        <v>45</v>
      </c>
      <c r="H111" s="34" t="s">
        <v>45</v>
      </c>
      <c r="I111" s="34" t="s">
        <v>45</v>
      </c>
      <c r="J111" s="34" t="s">
        <v>45</v>
      </c>
      <c r="K111" s="34" t="s">
        <v>45</v>
      </c>
    </row>
    <row r="112">
      <c r="A112" s="35" t="s">
        <v>45</v>
      </c>
      <c r="B112" s="34" t="s">
        <v>45</v>
      </c>
      <c r="C112" s="35" t="s">
        <v>45</v>
      </c>
      <c r="D112" s="35" t="s">
        <v>47</v>
      </c>
      <c r="E112" s="34" t="s">
        <v>156</v>
      </c>
      <c r="F112" s="35" t="s">
        <v>45</v>
      </c>
      <c r="G112" s="34" t="s">
        <v>45</v>
      </c>
      <c r="H112" s="34" t="s">
        <v>45</v>
      </c>
      <c r="I112" s="35" t="n">
        <v>4.0</v>
      </c>
      <c r="J112" s="35"/>
      <c r="K112" s="37" t="n">
        <v>0.75</v>
      </c>
    </row>
    <row r="113">
      <c r="A113" s="35" t="s">
        <v>45</v>
      </c>
      <c r="B113" s="34" t="s">
        <v>45</v>
      </c>
      <c r="C113" s="35" t="s">
        <v>45</v>
      </c>
      <c r="D113" s="35" t="s">
        <v>45</v>
      </c>
      <c r="E113" s="34" t="s">
        <v>45</v>
      </c>
      <c r="F113" s="35" t="n">
        <v>0.0</v>
      </c>
      <c r="G113" s="34" t="s">
        <v>157</v>
      </c>
      <c r="H113" s="34" t="s">
        <v>45</v>
      </c>
      <c r="I113" s="35"/>
      <c r="J113" s="35"/>
      <c r="K113" s="37"/>
    </row>
    <row r="114">
      <c r="A114" s="35" t="s">
        <v>45</v>
      </c>
      <c r="B114" s="34" t="s">
        <v>45</v>
      </c>
      <c r="C114" s="35" t="s">
        <v>45</v>
      </c>
      <c r="D114" s="35" t="s">
        <v>45</v>
      </c>
      <c r="E114" s="34" t="s">
        <v>45</v>
      </c>
      <c r="F114" s="35" t="n">
        <v>1.0</v>
      </c>
      <c r="G114" s="34" t="s">
        <v>158</v>
      </c>
      <c r="H114" s="34" t="s">
        <v>45</v>
      </c>
      <c r="I114" s="35"/>
      <c r="J114" s="35"/>
      <c r="K114" s="37"/>
    </row>
    <row r="115">
      <c r="A115" s="35" t="s">
        <v>45</v>
      </c>
      <c r="B115" s="34" t="s">
        <v>45</v>
      </c>
      <c r="C115" s="35" t="s">
        <v>45</v>
      </c>
      <c r="D115" s="35" t="s">
        <v>45</v>
      </c>
      <c r="E115" s="34" t="s">
        <v>45</v>
      </c>
      <c r="F115" s="35" t="n">
        <v>2.0</v>
      </c>
      <c r="G115" s="34" t="s">
        <v>159</v>
      </c>
      <c r="H115" s="34" t="s">
        <v>45</v>
      </c>
      <c r="I115" s="35"/>
      <c r="J115" s="35"/>
      <c r="K115" s="37"/>
    </row>
    <row r="116">
      <c r="A116" s="35" t="s">
        <v>45</v>
      </c>
      <c r="B116" s="34" t="s">
        <v>45</v>
      </c>
      <c r="C116" s="35" t="s">
        <v>45</v>
      </c>
      <c r="D116" s="35" t="s">
        <v>45</v>
      </c>
      <c r="E116" s="34" t="s">
        <v>45</v>
      </c>
      <c r="F116" s="35" t="n">
        <v>3.0</v>
      </c>
      <c r="G116" s="34" t="s">
        <v>160</v>
      </c>
      <c r="H116" s="34" t="s">
        <v>45</v>
      </c>
      <c r="I116" s="35"/>
      <c r="J116" s="35"/>
      <c r="K116" s="37"/>
    </row>
    <row r="117">
      <c r="A117" s="35" t="s">
        <v>161</v>
      </c>
      <c r="B117" s="34" t="s">
        <v>162</v>
      </c>
      <c r="C117" s="35" t="s">
        <v>155</v>
      </c>
      <c r="D117" s="34" t="s">
        <v>45</v>
      </c>
      <c r="E117" s="34" t="s">
        <v>45</v>
      </c>
      <c r="F117" s="34" t="s">
        <v>45</v>
      </c>
      <c r="G117" s="34" t="s">
        <v>45</v>
      </c>
      <c r="H117" s="34" t="s">
        <v>45</v>
      </c>
      <c r="I117" s="34" t="s">
        <v>45</v>
      </c>
      <c r="J117" s="34" t="s">
        <v>45</v>
      </c>
      <c r="K117" s="34" t="s">
        <v>45</v>
      </c>
    </row>
    <row r="118">
      <c r="A118" s="35" t="s">
        <v>45</v>
      </c>
      <c r="B118" s="34" t="s">
        <v>45</v>
      </c>
      <c r="C118" s="35" t="s">
        <v>45</v>
      </c>
      <c r="D118" s="35" t="s">
        <v>83</v>
      </c>
      <c r="E118" s="34" t="s">
        <v>163</v>
      </c>
      <c r="F118" s="35" t="s">
        <v>45</v>
      </c>
      <c r="G118" s="34" t="s">
        <v>164</v>
      </c>
      <c r="H118" s="34" t="s">
        <v>45</v>
      </c>
      <c r="I118" s="35" t="n">
        <v>5.0</v>
      </c>
      <c r="J118" s="35"/>
      <c r="K118" s="37" t="n">
        <v>1.0</v>
      </c>
    </row>
    <row r="119">
      <c r="A119" s="35" t="s">
        <v>45</v>
      </c>
      <c r="B119" s="34" t="s">
        <v>45</v>
      </c>
      <c r="C119" s="35" t="s">
        <v>45</v>
      </c>
      <c r="D119" s="35" t="s">
        <v>83</v>
      </c>
      <c r="E119" s="34" t="s">
        <v>165</v>
      </c>
      <c r="F119" s="35" t="s">
        <v>45</v>
      </c>
      <c r="G119" s="34" t="s">
        <v>166</v>
      </c>
      <c r="H119" s="34" t="s">
        <v>45</v>
      </c>
      <c r="I119" s="35" t="n">
        <v>5.0</v>
      </c>
      <c r="J119" s="35"/>
      <c r="K119" s="37" t="n">
        <v>0.75</v>
      </c>
    </row>
    <row r="120">
      <c r="A120" s="35" t="s">
        <v>45</v>
      </c>
      <c r="B120" s="34" t="s">
        <v>45</v>
      </c>
      <c r="C120" s="35" t="s">
        <v>45</v>
      </c>
      <c r="D120" s="35" t="s">
        <v>83</v>
      </c>
      <c r="E120" s="34" t="s">
        <v>167</v>
      </c>
      <c r="F120" s="35" t="s">
        <v>45</v>
      </c>
      <c r="G120" s="34" t="s">
        <v>168</v>
      </c>
      <c r="H120" s="34" t="s">
        <v>45</v>
      </c>
      <c r="I120" s="35" t="n">
        <v>1.0</v>
      </c>
      <c r="J120" s="35"/>
      <c r="K120" s="37" t="n">
        <v>0.25</v>
      </c>
    </row>
    <row r="121">
      <c r="A121" s="35" t="s">
        <v>45</v>
      </c>
      <c r="B121" s="34" t="s">
        <v>45</v>
      </c>
      <c r="C121" s="35" t="s">
        <v>45</v>
      </c>
      <c r="D121" s="35" t="s">
        <v>83</v>
      </c>
      <c r="E121" s="34" t="s">
        <v>169</v>
      </c>
      <c r="F121" s="35" t="s">
        <v>45</v>
      </c>
      <c r="G121" s="34" t="s">
        <v>170</v>
      </c>
      <c r="H121" s="34" t="s">
        <v>45</v>
      </c>
      <c r="I121" s="35" t="n">
        <v>5.0</v>
      </c>
      <c r="J121" s="35"/>
      <c r="K121" s="37" t="n">
        <v>0.5</v>
      </c>
    </row>
    <row r="122">
      <c r="A122" s="35" t="s">
        <v>45</v>
      </c>
      <c r="B122" s="34" t="s">
        <v>45</v>
      </c>
      <c r="C122" s="35" t="s">
        <v>45</v>
      </c>
      <c r="D122" s="35" t="s">
        <v>83</v>
      </c>
      <c r="E122" s="34" t="s">
        <v>171</v>
      </c>
      <c r="F122" s="35" t="s">
        <v>45</v>
      </c>
      <c r="G122" s="34" t="s">
        <v>172</v>
      </c>
      <c r="H122" s="34" t="s">
        <v>45</v>
      </c>
      <c r="I122" s="35" t="n">
        <v>3.0</v>
      </c>
      <c r="J122" s="35"/>
      <c r="K122" s="37" t="n">
        <v>0.5</v>
      </c>
    </row>
    <row r="123">
      <c r="A123" s="35" t="s">
        <v>173</v>
      </c>
      <c r="B123" s="34" t="s">
        <v>174</v>
      </c>
      <c r="C123" s="35" t="s">
        <v>155</v>
      </c>
      <c r="D123" s="34" t="s">
        <v>45</v>
      </c>
      <c r="E123" s="34" t="s">
        <v>45</v>
      </c>
      <c r="F123" s="34" t="s">
        <v>45</v>
      </c>
      <c r="G123" s="34" t="s">
        <v>45</v>
      </c>
      <c r="H123" s="34" t="s">
        <v>45</v>
      </c>
      <c r="I123" s="34" t="s">
        <v>45</v>
      </c>
      <c r="J123" s="34" t="s">
        <v>45</v>
      </c>
      <c r="K123" s="34" t="s">
        <v>45</v>
      </c>
    </row>
    <row r="124">
      <c r="A124" s="35" t="s">
        <v>45</v>
      </c>
      <c r="B124" s="34" t="s">
        <v>45</v>
      </c>
      <c r="C124" s="35" t="s">
        <v>45</v>
      </c>
      <c r="D124" s="35" t="s">
        <v>83</v>
      </c>
      <c r="E124" s="34" t="s">
        <v>175</v>
      </c>
      <c r="F124" s="35" t="s">
        <v>45</v>
      </c>
      <c r="G124" s="34" t="s">
        <v>176</v>
      </c>
      <c r="H124" s="34" t="s">
        <v>45</v>
      </c>
      <c r="I124" s="35" t="n">
        <v>3.0</v>
      </c>
      <c r="J124" s="35"/>
      <c r="K124" s="37" t="n">
        <v>0.25</v>
      </c>
    </row>
    <row r="125">
      <c r="A125" s="35" t="s">
        <v>45</v>
      </c>
      <c r="B125" s="34" t="s">
        <v>45</v>
      </c>
      <c r="C125" s="35" t="s">
        <v>45</v>
      </c>
      <c r="D125" s="35" t="s">
        <v>83</v>
      </c>
      <c r="E125" s="34" t="s">
        <v>177</v>
      </c>
      <c r="F125" s="35" t="s">
        <v>45</v>
      </c>
      <c r="G125" s="34" t="s">
        <v>176</v>
      </c>
      <c r="H125" s="34" t="s">
        <v>45</v>
      </c>
      <c r="I125" s="35" t="n">
        <v>3.0</v>
      </c>
      <c r="J125" s="35"/>
      <c r="K125" s="37" t="n">
        <v>0.25</v>
      </c>
    </row>
    <row r="126">
      <c r="A126" s="35" t="s">
        <v>45</v>
      </c>
      <c r="B126" s="34" t="s">
        <v>45</v>
      </c>
      <c r="C126" s="35" t="s">
        <v>45</v>
      </c>
      <c r="D126" s="35" t="s">
        <v>83</v>
      </c>
      <c r="E126" s="34" t="s">
        <v>178</v>
      </c>
      <c r="F126" s="35" t="s">
        <v>45</v>
      </c>
      <c r="G126" s="34" t="s">
        <v>179</v>
      </c>
      <c r="H126" s="34" t="s">
        <v>45</v>
      </c>
      <c r="I126" s="35" t="n">
        <v>5.0</v>
      </c>
      <c r="J126" s="35"/>
      <c r="K126" s="37" t="n">
        <v>0.5</v>
      </c>
    </row>
    <row r="127">
      <c r="A127" s="35" t="s">
        <v>180</v>
      </c>
      <c r="B127" s="34" t="s">
        <v>181</v>
      </c>
      <c r="C127" s="35" t="s">
        <v>155</v>
      </c>
      <c r="D127" s="34" t="s">
        <v>45</v>
      </c>
      <c r="E127" s="34" t="s">
        <v>45</v>
      </c>
      <c r="F127" s="34" t="s">
        <v>45</v>
      </c>
      <c r="G127" s="34" t="s">
        <v>45</v>
      </c>
      <c r="H127" s="34" t="s">
        <v>45</v>
      </c>
      <c r="I127" s="34" t="s">
        <v>45</v>
      </c>
      <c r="J127" s="34" t="s">
        <v>45</v>
      </c>
      <c r="K127" s="34" t="s">
        <v>45</v>
      </c>
    </row>
    <row r="128">
      <c r="A128" s="35" t="s">
        <v>45</v>
      </c>
      <c r="B128" s="34" t="s">
        <v>45</v>
      </c>
      <c r="C128" s="35" t="s">
        <v>45</v>
      </c>
      <c r="D128" s="35" t="s">
        <v>83</v>
      </c>
      <c r="E128" s="34" t="s">
        <v>182</v>
      </c>
      <c r="F128" s="35" t="s">
        <v>45</v>
      </c>
      <c r="G128" s="34" t="s">
        <v>183</v>
      </c>
      <c r="H128" s="34" t="s">
        <v>45</v>
      </c>
      <c r="I128" s="35" t="n">
        <v>1.0</v>
      </c>
      <c r="J128" s="35"/>
      <c r="K128" s="37" t="n">
        <v>0.5</v>
      </c>
    </row>
    <row r="129">
      <c r="A129" s="35" t="s">
        <v>184</v>
      </c>
      <c r="B129" s="34" t="s">
        <v>185</v>
      </c>
      <c r="C129" s="35" t="s">
        <v>155</v>
      </c>
      <c r="D129" s="34" t="s">
        <v>45</v>
      </c>
      <c r="E129" s="34" t="s">
        <v>45</v>
      </c>
      <c r="F129" s="34" t="s">
        <v>45</v>
      </c>
      <c r="G129" s="34" t="s">
        <v>45</v>
      </c>
      <c r="H129" s="34" t="s">
        <v>45</v>
      </c>
      <c r="I129" s="34" t="s">
        <v>45</v>
      </c>
      <c r="J129" s="34" t="s">
        <v>45</v>
      </c>
      <c r="K129" s="34" t="s">
        <v>45</v>
      </c>
    </row>
    <row r="130">
      <c r="A130" s="35" t="s">
        <v>45</v>
      </c>
      <c r="B130" s="34" t="s">
        <v>45</v>
      </c>
      <c r="C130" s="35" t="s">
        <v>45</v>
      </c>
      <c r="D130" s="35" t="s">
        <v>83</v>
      </c>
      <c r="E130" s="34" t="s">
        <v>186</v>
      </c>
      <c r="F130" s="35" t="s">
        <v>45</v>
      </c>
      <c r="G130" s="34" t="s">
        <v>187</v>
      </c>
      <c r="H130" s="34" t="s">
        <v>45</v>
      </c>
      <c r="I130" s="35" t="n">
        <v>1.0</v>
      </c>
      <c r="J130" s="35"/>
      <c r="K130" s="37" t="n">
        <v>0.25</v>
      </c>
    </row>
    <row r="131">
      <c r="A131" s="35" t="s">
        <v>45</v>
      </c>
      <c r="B131" s="34" t="s">
        <v>45</v>
      </c>
      <c r="C131" s="35" t="s">
        <v>45</v>
      </c>
      <c r="D131" s="35" t="s">
        <v>83</v>
      </c>
      <c r="E131" s="34" t="s">
        <v>145</v>
      </c>
      <c r="F131" s="35" t="s">
        <v>45</v>
      </c>
      <c r="G131" s="34" t="s">
        <v>188</v>
      </c>
      <c r="H131" s="34" t="s">
        <v>45</v>
      </c>
      <c r="I131" s="35" t="n">
        <v>5.0</v>
      </c>
      <c r="J131" s="35"/>
      <c r="K131" s="37" t="n">
        <v>0.5</v>
      </c>
    </row>
    <row r="132">
      <c r="A132" s="35" t="s">
        <v>45</v>
      </c>
      <c r="B132" s="34" t="s">
        <v>45</v>
      </c>
      <c r="C132" s="35" t="s">
        <v>45</v>
      </c>
      <c r="D132" s="35" t="s">
        <v>83</v>
      </c>
      <c r="E132" s="34" t="s">
        <v>189</v>
      </c>
      <c r="F132" s="35" t="s">
        <v>45</v>
      </c>
      <c r="G132" s="34" t="s">
        <v>190</v>
      </c>
      <c r="H132" s="34" t="s">
        <v>45</v>
      </c>
      <c r="I132" s="35" t="n">
        <v>1.0</v>
      </c>
      <c r="J132" s="35"/>
      <c r="K132" s="37" t="n">
        <v>0.75</v>
      </c>
    </row>
    <row r="133">
      <c r="A133" s="35" t="s">
        <v>45</v>
      </c>
      <c r="B133" s="34" t="s">
        <v>45</v>
      </c>
      <c r="C133" s="35" t="s">
        <v>45</v>
      </c>
      <c r="D133" s="35" t="s">
        <v>83</v>
      </c>
      <c r="E133" s="34" t="s">
        <v>191</v>
      </c>
      <c r="F133" s="35" t="s">
        <v>45</v>
      </c>
      <c r="G133" s="34" t="s">
        <v>192</v>
      </c>
      <c r="H133" s="34" t="s">
        <v>45</v>
      </c>
      <c r="I133" s="35" t="n">
        <v>5.0</v>
      </c>
      <c r="J133" s="35"/>
      <c r="K133" s="37" t="n">
        <v>0.5</v>
      </c>
    </row>
    <row r="134">
      <c r="A134" s="35" t="s">
        <v>45</v>
      </c>
      <c r="B134" s="34" t="s">
        <v>45</v>
      </c>
      <c r="C134" s="35" t="s">
        <v>45</v>
      </c>
      <c r="D134" s="35" t="s">
        <v>83</v>
      </c>
      <c r="E134" s="34" t="s">
        <v>193</v>
      </c>
      <c r="F134" s="35" t="s">
        <v>45</v>
      </c>
      <c r="G134" s="34" t="s">
        <v>194</v>
      </c>
      <c r="H134" s="34" t="s">
        <v>45</v>
      </c>
      <c r="I134" s="35" t="n">
        <v>3.0</v>
      </c>
      <c r="J134" s="35"/>
      <c r="K134" s="37" t="n">
        <v>0.25</v>
      </c>
    </row>
    <row r="135">
      <c r="A135" s="35" t="s">
        <v>45</v>
      </c>
      <c r="B135" s="34" t="s">
        <v>45</v>
      </c>
      <c r="C135" s="35" t="s">
        <v>45</v>
      </c>
      <c r="D135" s="35" t="s">
        <v>83</v>
      </c>
      <c r="E135" s="34" t="s">
        <v>195</v>
      </c>
      <c r="F135" s="35" t="s">
        <v>45</v>
      </c>
      <c r="G135" s="34" t="s">
        <v>196</v>
      </c>
      <c r="H135" s="34" t="s">
        <v>45</v>
      </c>
      <c r="I135" s="35" t="n">
        <v>3.0</v>
      </c>
      <c r="J135" s="35"/>
      <c r="K135" s="37" t="n">
        <v>0.75</v>
      </c>
    </row>
    <row r="136">
      <c r="A136" s="35" t="s">
        <v>45</v>
      </c>
      <c r="B136" s="34" t="s">
        <v>45</v>
      </c>
      <c r="C136" s="35" t="s">
        <v>45</v>
      </c>
      <c r="D136" s="35" t="s">
        <v>83</v>
      </c>
      <c r="E136" s="34" t="s">
        <v>197</v>
      </c>
      <c r="F136" s="35" t="s">
        <v>45</v>
      </c>
      <c r="G136" s="34" t="s">
        <v>176</v>
      </c>
      <c r="H136" s="34" t="s">
        <v>45</v>
      </c>
      <c r="I136" s="35" t="n">
        <v>5.0</v>
      </c>
      <c r="J136" s="35"/>
      <c r="K136" s="37" t="n">
        <v>0.5</v>
      </c>
    </row>
    <row r="137">
      <c r="A137" s="35" t="s">
        <v>198</v>
      </c>
      <c r="B137" s="34" t="s">
        <v>199</v>
      </c>
      <c r="C137" s="35" t="s">
        <v>155</v>
      </c>
      <c r="D137" s="34" t="s">
        <v>45</v>
      </c>
      <c r="E137" s="34" t="s">
        <v>45</v>
      </c>
      <c r="F137" s="34" t="s">
        <v>45</v>
      </c>
      <c r="G137" s="34" t="s">
        <v>45</v>
      </c>
      <c r="H137" s="34" t="s">
        <v>45</v>
      </c>
      <c r="I137" s="34" t="s">
        <v>45</v>
      </c>
      <c r="J137" s="34" t="s">
        <v>45</v>
      </c>
      <c r="K137" s="34" t="s">
        <v>45</v>
      </c>
    </row>
    <row r="138">
      <c r="A138" s="35" t="s">
        <v>45</v>
      </c>
      <c r="B138" s="34" t="s">
        <v>45</v>
      </c>
      <c r="C138" s="35" t="s">
        <v>45</v>
      </c>
      <c r="D138" s="35" t="s">
        <v>47</v>
      </c>
      <c r="E138" s="34" t="s">
        <v>200</v>
      </c>
      <c r="F138" s="35" t="s">
        <v>45</v>
      </c>
      <c r="G138" s="34" t="s">
        <v>45</v>
      </c>
      <c r="H138" s="34" t="s">
        <v>45</v>
      </c>
      <c r="I138" s="35" t="n">
        <v>4.0</v>
      </c>
      <c r="J138" s="35"/>
      <c r="K138" s="37" t="n">
        <v>1.5</v>
      </c>
    </row>
    <row r="139">
      <c r="A139" s="35" t="s">
        <v>45</v>
      </c>
      <c r="B139" s="34" t="s">
        <v>45</v>
      </c>
      <c r="C139" s="35" t="s">
        <v>45</v>
      </c>
      <c r="D139" s="35" t="s">
        <v>45</v>
      </c>
      <c r="E139" s="34" t="s">
        <v>45</v>
      </c>
      <c r="F139" s="35" t="n">
        <v>0.0</v>
      </c>
      <c r="G139" s="34" t="s">
        <v>201</v>
      </c>
      <c r="H139" s="34" t="s">
        <v>45</v>
      </c>
      <c r="I139" s="35"/>
      <c r="J139" s="35"/>
      <c r="K139" s="37"/>
    </row>
    <row r="140">
      <c r="A140" s="35" t="s">
        <v>45</v>
      </c>
      <c r="B140" s="34" t="s">
        <v>45</v>
      </c>
      <c r="C140" s="35" t="s">
        <v>45</v>
      </c>
      <c r="D140" s="35" t="s">
        <v>45</v>
      </c>
      <c r="E140" s="34" t="s">
        <v>45</v>
      </c>
      <c r="F140" s="35" t="n">
        <v>1.0</v>
      </c>
      <c r="G140" s="34" t="s">
        <v>50</v>
      </c>
      <c r="H140" s="34" t="s">
        <v>45</v>
      </c>
      <c r="I140" s="35"/>
      <c r="J140" s="35"/>
      <c r="K140" s="37"/>
    </row>
    <row r="141">
      <c r="A141" s="35" t="s">
        <v>45</v>
      </c>
      <c r="B141" s="34" t="s">
        <v>45</v>
      </c>
      <c r="C141" s="35" t="s">
        <v>45</v>
      </c>
      <c r="D141" s="35" t="s">
        <v>45</v>
      </c>
      <c r="E141" s="34" t="s">
        <v>45</v>
      </c>
      <c r="F141" s="35" t="n">
        <v>2.0</v>
      </c>
      <c r="G141" s="34" t="s">
        <v>51</v>
      </c>
      <c r="H141" s="34" t="s">
        <v>45</v>
      </c>
      <c r="I141" s="35"/>
      <c r="J141" s="35"/>
      <c r="K141" s="37"/>
    </row>
    <row r="142">
      <c r="A142" s="35" t="s">
        <v>45</v>
      </c>
      <c r="B142" s="34" t="s">
        <v>45</v>
      </c>
      <c r="C142" s="35" t="s">
        <v>45</v>
      </c>
      <c r="D142" s="35" t="s">
        <v>45</v>
      </c>
      <c r="E142" s="34" t="s">
        <v>45</v>
      </c>
      <c r="F142" s="35" t="n">
        <v>3.0</v>
      </c>
      <c r="G142" s="34" t="s">
        <v>52</v>
      </c>
      <c r="H142" s="34" t="s">
        <v>45</v>
      </c>
      <c r="I142" s="35"/>
      <c r="J142" s="35"/>
      <c r="K142" s="37"/>
    </row>
    <row r="143">
      <c r="A143" s="35" t="s">
        <v>45</v>
      </c>
      <c r="B143" s="34" t="s">
        <v>45</v>
      </c>
      <c r="C143" s="35" t="s">
        <v>45</v>
      </c>
      <c r="D143" s="35" t="s">
        <v>47</v>
      </c>
      <c r="E143" s="34" t="s">
        <v>202</v>
      </c>
      <c r="F143" s="35" t="s">
        <v>45</v>
      </c>
      <c r="G143" s="34" t="s">
        <v>45</v>
      </c>
      <c r="H143" s="34" t="s">
        <v>45</v>
      </c>
      <c r="I143" s="35" t="n">
        <v>4.0</v>
      </c>
      <c r="J143" s="35"/>
      <c r="K143" s="37" t="n">
        <v>1.5</v>
      </c>
    </row>
    <row r="144">
      <c r="A144" s="35" t="s">
        <v>45</v>
      </c>
      <c r="B144" s="34" t="s">
        <v>45</v>
      </c>
      <c r="C144" s="35" t="s">
        <v>45</v>
      </c>
      <c r="D144" s="35" t="s">
        <v>45</v>
      </c>
      <c r="E144" s="34" t="s">
        <v>45</v>
      </c>
      <c r="F144" s="35" t="n">
        <v>0.0</v>
      </c>
      <c r="G144" s="34" t="s">
        <v>203</v>
      </c>
      <c r="H144" s="34" t="s">
        <v>45</v>
      </c>
      <c r="I144" s="35"/>
      <c r="J144" s="35"/>
      <c r="K144" s="37"/>
    </row>
    <row r="145">
      <c r="A145" s="35" t="s">
        <v>45</v>
      </c>
      <c r="B145" s="34" t="s">
        <v>45</v>
      </c>
      <c r="C145" s="35" t="s">
        <v>45</v>
      </c>
      <c r="D145" s="35" t="s">
        <v>45</v>
      </c>
      <c r="E145" s="34" t="s">
        <v>45</v>
      </c>
      <c r="F145" s="35" t="n">
        <v>1.0</v>
      </c>
      <c r="G145" s="34" t="s">
        <v>204</v>
      </c>
      <c r="H145" s="34" t="s">
        <v>45</v>
      </c>
      <c r="I145" s="35"/>
      <c r="J145" s="35"/>
      <c r="K145" s="37"/>
    </row>
    <row r="146">
      <c r="A146" s="35" t="s">
        <v>45</v>
      </c>
      <c r="B146" s="34" t="s">
        <v>45</v>
      </c>
      <c r="C146" s="35" t="s">
        <v>45</v>
      </c>
      <c r="D146" s="35" t="s">
        <v>45</v>
      </c>
      <c r="E146" s="34" t="s">
        <v>45</v>
      </c>
      <c r="F146" s="35" t="n">
        <v>2.0</v>
      </c>
      <c r="G146" s="34" t="s">
        <v>205</v>
      </c>
      <c r="H146" s="34" t="s">
        <v>45</v>
      </c>
      <c r="I146" s="35"/>
      <c r="J146" s="35"/>
      <c r="K146" s="37"/>
    </row>
    <row r="147">
      <c r="A147" s="35" t="s">
        <v>45</v>
      </c>
      <c r="B147" s="34" t="s">
        <v>45</v>
      </c>
      <c r="C147" s="35" t="s">
        <v>45</v>
      </c>
      <c r="D147" s="35" t="s">
        <v>45</v>
      </c>
      <c r="E147" s="34" t="s">
        <v>45</v>
      </c>
      <c r="F147" s="35" t="n">
        <v>3.0</v>
      </c>
      <c r="G147" s="34" t="s">
        <v>206</v>
      </c>
      <c r="H147" s="34" t="s">
        <v>45</v>
      </c>
      <c r="I147" s="35"/>
      <c r="J147" s="35"/>
      <c r="K147" s="37"/>
    </row>
    <row r="148">
      <c r="A148" s="35" t="s">
        <v>45</v>
      </c>
      <c r="B148" s="34" t="s">
        <v>45</v>
      </c>
      <c r="C148" s="35" t="s">
        <v>45</v>
      </c>
      <c r="D148" s="35" t="s">
        <v>47</v>
      </c>
      <c r="E148" s="34" t="s">
        <v>207</v>
      </c>
      <c r="F148" s="35" t="s">
        <v>45</v>
      </c>
      <c r="G148" s="34" t="s">
        <v>45</v>
      </c>
      <c r="H148" s="34" t="s">
        <v>45</v>
      </c>
      <c r="I148" s="35" t="n">
        <v>4.0</v>
      </c>
      <c r="J148" s="35"/>
      <c r="K148" s="37" t="n">
        <v>2.0</v>
      </c>
    </row>
    <row r="149">
      <c r="A149" s="35" t="s">
        <v>45</v>
      </c>
      <c r="B149" s="34" t="s">
        <v>45</v>
      </c>
      <c r="C149" s="35" t="s">
        <v>45</v>
      </c>
      <c r="D149" s="35" t="s">
        <v>45</v>
      </c>
      <c r="E149" s="34" t="s">
        <v>45</v>
      </c>
      <c r="F149" s="35" t="n">
        <v>0.0</v>
      </c>
      <c r="G149" s="34" t="s">
        <v>208</v>
      </c>
      <c r="H149" s="34" t="s">
        <v>45</v>
      </c>
      <c r="I149" s="35"/>
      <c r="J149" s="35"/>
      <c r="K149" s="37"/>
    </row>
    <row r="150">
      <c r="A150" s="35" t="s">
        <v>45</v>
      </c>
      <c r="B150" s="34" t="s">
        <v>45</v>
      </c>
      <c r="C150" s="35" t="s">
        <v>45</v>
      </c>
      <c r="D150" s="35" t="s">
        <v>45</v>
      </c>
      <c r="E150" s="34" t="s">
        <v>45</v>
      </c>
      <c r="F150" s="35" t="n">
        <v>1.0</v>
      </c>
      <c r="G150" s="34" t="s">
        <v>209</v>
      </c>
      <c r="H150" s="34" t="s">
        <v>45</v>
      </c>
      <c r="I150" s="35"/>
      <c r="J150" s="35"/>
      <c r="K150" s="37"/>
    </row>
    <row r="151">
      <c r="A151" s="35" t="s">
        <v>45</v>
      </c>
      <c r="B151" s="34" t="s">
        <v>45</v>
      </c>
      <c r="C151" s="35" t="s">
        <v>45</v>
      </c>
      <c r="D151" s="35" t="s">
        <v>45</v>
      </c>
      <c r="E151" s="34" t="s">
        <v>45</v>
      </c>
      <c r="F151" s="35" t="n">
        <v>2.0</v>
      </c>
      <c r="G151" s="34" t="s">
        <v>210</v>
      </c>
      <c r="H151" s="34" t="s">
        <v>45</v>
      </c>
      <c r="I151" s="35"/>
      <c r="J151" s="35"/>
      <c r="K151" s="37"/>
    </row>
    <row r="152">
      <c r="A152" s="35" t="s">
        <v>45</v>
      </c>
      <c r="B152" s="34" t="s">
        <v>45</v>
      </c>
      <c r="C152" s="35" t="s">
        <v>45</v>
      </c>
      <c r="D152" s="35" t="s">
        <v>45</v>
      </c>
      <c r="E152" s="34" t="s">
        <v>45</v>
      </c>
      <c r="F152" s="35" t="n">
        <v>3.0</v>
      </c>
      <c r="G152" s="34" t="s">
        <v>211</v>
      </c>
      <c r="H152" s="34" t="s">
        <v>45</v>
      </c>
      <c r="I152" s="35"/>
      <c r="J152" s="35"/>
      <c r="K152" s="37"/>
    </row>
    <row r="153">
      <c r="A153" s="35" t="s">
        <v>45</v>
      </c>
      <c r="B153" s="34" t="s">
        <v>45</v>
      </c>
      <c r="C153" s="35" t="s">
        <v>45</v>
      </c>
      <c r="D153" s="35" t="s">
        <v>47</v>
      </c>
      <c r="E153" s="34" t="s">
        <v>212</v>
      </c>
      <c r="F153" s="35" t="s">
        <v>45</v>
      </c>
      <c r="G153" s="34" t="s">
        <v>45</v>
      </c>
      <c r="H153" s="34" t="s">
        <v>45</v>
      </c>
      <c r="I153" s="35" t="n">
        <v>2.0</v>
      </c>
      <c r="J153" s="35"/>
      <c r="K153" s="37" t="n">
        <v>1.0</v>
      </c>
    </row>
    <row r="154">
      <c r="A154" s="35" t="s">
        <v>45</v>
      </c>
      <c r="B154" s="34" t="s">
        <v>45</v>
      </c>
      <c r="C154" s="35" t="s">
        <v>45</v>
      </c>
      <c r="D154" s="35" t="s">
        <v>45</v>
      </c>
      <c r="E154" s="34" t="s">
        <v>45</v>
      </c>
      <c r="F154" s="35" t="n">
        <v>0.0</v>
      </c>
      <c r="G154" s="34" t="s">
        <v>213</v>
      </c>
      <c r="H154" s="34" t="s">
        <v>45</v>
      </c>
      <c r="I154" s="35"/>
      <c r="J154" s="35"/>
      <c r="K154" s="37"/>
    </row>
    <row r="155">
      <c r="A155" s="35" t="s">
        <v>45</v>
      </c>
      <c r="B155" s="34" t="s">
        <v>45</v>
      </c>
      <c r="C155" s="35" t="s">
        <v>45</v>
      </c>
      <c r="D155" s="35" t="s">
        <v>45</v>
      </c>
      <c r="E155" s="34" t="s">
        <v>45</v>
      </c>
      <c r="F155" s="35" t="n">
        <v>1.0</v>
      </c>
      <c r="G155" s="34" t="s">
        <v>214</v>
      </c>
      <c r="H155" s="34" t="s">
        <v>45</v>
      </c>
      <c r="I155" s="35"/>
      <c r="J155" s="35"/>
      <c r="K155" s="37"/>
    </row>
    <row r="156">
      <c r="A156" s="35" t="s">
        <v>45</v>
      </c>
      <c r="B156" s="34" t="s">
        <v>45</v>
      </c>
      <c r="C156" s="35" t="s">
        <v>45</v>
      </c>
      <c r="D156" s="35" t="s">
        <v>45</v>
      </c>
      <c r="E156" s="34" t="s">
        <v>45</v>
      </c>
      <c r="F156" s="35" t="n">
        <v>2.0</v>
      </c>
      <c r="G156" s="34" t="s">
        <v>215</v>
      </c>
      <c r="H156" s="34" t="s">
        <v>45</v>
      </c>
      <c r="I156" s="35"/>
      <c r="J156" s="35"/>
      <c r="K156" s="37"/>
    </row>
    <row r="157">
      <c r="A157" s="35" t="s">
        <v>45</v>
      </c>
      <c r="B157" s="34" t="s">
        <v>45</v>
      </c>
      <c r="C157" s="35" t="s">
        <v>45</v>
      </c>
      <c r="D157" s="35" t="s">
        <v>45</v>
      </c>
      <c r="E157" s="34" t="s">
        <v>45</v>
      </c>
      <c r="F157" s="35" t="n">
        <v>3.0</v>
      </c>
      <c r="G157" s="34" t="s">
        <v>216</v>
      </c>
      <c r="H157" s="34" t="s">
        <v>45</v>
      </c>
      <c r="I157" s="35"/>
      <c r="J157" s="35"/>
      <c r="K157" s="37"/>
    </row>
    <row r="158">
      <c r="A158" s="35" t="s">
        <v>45</v>
      </c>
      <c r="B158" s="34" t="s">
        <v>45</v>
      </c>
      <c r="C158" s="35" t="s">
        <v>45</v>
      </c>
      <c r="D158" s="35" t="s">
        <v>47</v>
      </c>
      <c r="E158" s="34" t="s">
        <v>217</v>
      </c>
      <c r="F158" s="35" t="s">
        <v>45</v>
      </c>
      <c r="G158" s="34" t="s">
        <v>45</v>
      </c>
      <c r="H158" s="34" t="s">
        <v>45</v>
      </c>
      <c r="I158" s="35" t="n">
        <v>4.0</v>
      </c>
      <c r="J158" s="35"/>
      <c r="K158" s="37" t="n">
        <v>0.75</v>
      </c>
    </row>
    <row r="159">
      <c r="A159" s="35" t="s">
        <v>45</v>
      </c>
      <c r="B159" s="34" t="s">
        <v>45</v>
      </c>
      <c r="C159" s="35" t="s">
        <v>45</v>
      </c>
      <c r="D159" s="35" t="s">
        <v>45</v>
      </c>
      <c r="E159" s="34" t="s">
        <v>45</v>
      </c>
      <c r="F159" s="35" t="n">
        <v>0.0</v>
      </c>
      <c r="G159" s="34" t="s">
        <v>218</v>
      </c>
      <c r="H159" s="34" t="s">
        <v>45</v>
      </c>
      <c r="I159" s="35"/>
      <c r="J159" s="35"/>
      <c r="K159" s="37"/>
    </row>
    <row r="160">
      <c r="A160" s="35" t="s">
        <v>45</v>
      </c>
      <c r="B160" s="34" t="s">
        <v>45</v>
      </c>
      <c r="C160" s="35" t="s">
        <v>45</v>
      </c>
      <c r="D160" s="35" t="s">
        <v>45</v>
      </c>
      <c r="E160" s="34" t="s">
        <v>45</v>
      </c>
      <c r="F160" s="35" t="n">
        <v>1.0</v>
      </c>
      <c r="G160" s="34" t="s">
        <v>219</v>
      </c>
      <c r="H160" s="34" t="s">
        <v>45</v>
      </c>
      <c r="I160" s="35"/>
      <c r="J160" s="35"/>
      <c r="K160" s="37"/>
    </row>
    <row r="161">
      <c r="A161" s="35" t="s">
        <v>45</v>
      </c>
      <c r="B161" s="34" t="s">
        <v>45</v>
      </c>
      <c r="C161" s="35" t="s">
        <v>45</v>
      </c>
      <c r="D161" s="35" t="s">
        <v>45</v>
      </c>
      <c r="E161" s="34" t="s">
        <v>45</v>
      </c>
      <c r="F161" s="35" t="n">
        <v>2.0</v>
      </c>
      <c r="G161" s="34" t="s">
        <v>220</v>
      </c>
      <c r="H161" s="34" t="s">
        <v>45</v>
      </c>
      <c r="I161" s="35"/>
      <c r="J161" s="35"/>
      <c r="K161" s="37"/>
    </row>
    <row r="162">
      <c r="A162" s="35" t="s">
        <v>45</v>
      </c>
      <c r="B162" s="34" t="s">
        <v>45</v>
      </c>
      <c r="C162" s="35" t="s">
        <v>45</v>
      </c>
      <c r="D162" s="35" t="s">
        <v>45</v>
      </c>
      <c r="E162" s="34" t="s">
        <v>45</v>
      </c>
      <c r="F162" s="35" t="n">
        <v>3.0</v>
      </c>
      <c r="G162" s="34" t="s">
        <v>221</v>
      </c>
      <c r="H162" s="34" t="s">
        <v>45</v>
      </c>
      <c r="I162" s="35"/>
      <c r="J162" s="35"/>
      <c r="K162" s="37"/>
    </row>
    <row r="163">
      <c r="A163" s="35" t="s">
        <v>45</v>
      </c>
      <c r="B163" s="34" t="s">
        <v>45</v>
      </c>
      <c r="C163" s="35" t="s">
        <v>45</v>
      </c>
      <c r="D163" s="35" t="s">
        <v>47</v>
      </c>
      <c r="E163" s="34" t="s">
        <v>222</v>
      </c>
      <c r="F163" s="35" t="s">
        <v>45</v>
      </c>
      <c r="G163" s="34" t="s">
        <v>45</v>
      </c>
      <c r="H163" s="34" t="s">
        <v>45</v>
      </c>
      <c r="I163" s="35" t="n">
        <v>4.0</v>
      </c>
      <c r="J163" s="35"/>
      <c r="K163" s="37" t="n">
        <v>1.0</v>
      </c>
    </row>
    <row r="164">
      <c r="A164" s="35" t="s">
        <v>45</v>
      </c>
      <c r="B164" s="34" t="s">
        <v>45</v>
      </c>
      <c r="C164" s="35" t="s">
        <v>45</v>
      </c>
      <c r="D164" s="35" t="s">
        <v>45</v>
      </c>
      <c r="E164" s="34" t="s">
        <v>45</v>
      </c>
      <c r="F164" s="35" t="n">
        <v>0.0</v>
      </c>
      <c r="G164" s="34" t="s">
        <v>223</v>
      </c>
      <c r="H164" s="34" t="s">
        <v>45</v>
      </c>
      <c r="I164" s="35"/>
      <c r="J164" s="35"/>
      <c r="K164" s="37"/>
    </row>
    <row r="165">
      <c r="A165" s="35" t="s">
        <v>45</v>
      </c>
      <c r="B165" s="34" t="s">
        <v>45</v>
      </c>
      <c r="C165" s="35" t="s">
        <v>45</v>
      </c>
      <c r="D165" s="35" t="s">
        <v>45</v>
      </c>
      <c r="E165" s="34" t="s">
        <v>45</v>
      </c>
      <c r="F165" s="35" t="n">
        <v>1.0</v>
      </c>
      <c r="G165" s="34" t="s">
        <v>224</v>
      </c>
      <c r="H165" s="34" t="s">
        <v>45</v>
      </c>
      <c r="I165" s="35"/>
      <c r="J165" s="35"/>
      <c r="K165" s="37"/>
    </row>
    <row r="166">
      <c r="A166" s="35" t="s">
        <v>45</v>
      </c>
      <c r="B166" s="34" t="s">
        <v>45</v>
      </c>
      <c r="C166" s="35" t="s">
        <v>45</v>
      </c>
      <c r="D166" s="35" t="s">
        <v>45</v>
      </c>
      <c r="E166" s="34" t="s">
        <v>45</v>
      </c>
      <c r="F166" s="35" t="n">
        <v>2.0</v>
      </c>
      <c r="G166" s="34" t="s">
        <v>225</v>
      </c>
      <c r="H166" s="34" t="s">
        <v>45</v>
      </c>
      <c r="I166" s="35"/>
      <c r="J166" s="35"/>
      <c r="K166" s="37"/>
    </row>
    <row r="167">
      <c r="A167" s="35" t="s">
        <v>45</v>
      </c>
      <c r="B167" s="34" t="s">
        <v>45</v>
      </c>
      <c r="C167" s="35" t="s">
        <v>45</v>
      </c>
      <c r="D167" s="35" t="s">
        <v>45</v>
      </c>
      <c r="E167" s="34" t="s">
        <v>45</v>
      </c>
      <c r="F167" s="35" t="n">
        <v>3.0</v>
      </c>
      <c r="G167" s="34" t="s">
        <v>226</v>
      </c>
      <c r="H167" s="34" t="s">
        <v>45</v>
      </c>
      <c r="I167" s="35"/>
      <c r="J167" s="35"/>
      <c r="K167" s="37"/>
    </row>
    <row r="168">
      <c r="A168" s="35" t="s">
        <v>227</v>
      </c>
      <c r="B168" s="34" t="s">
        <v>228</v>
      </c>
      <c r="C168" s="35" t="s">
        <v>155</v>
      </c>
      <c r="D168" s="34" t="s">
        <v>45</v>
      </c>
      <c r="E168" s="34" t="s">
        <v>45</v>
      </c>
      <c r="F168" s="34" t="s">
        <v>45</v>
      </c>
      <c r="G168" s="34" t="s">
        <v>45</v>
      </c>
      <c r="H168" s="34" t="s">
        <v>45</v>
      </c>
      <c r="I168" s="34" t="s">
        <v>45</v>
      </c>
      <c r="J168" s="34" t="s">
        <v>45</v>
      </c>
      <c r="K168" s="34" t="s">
        <v>45</v>
      </c>
    </row>
    <row r="169">
      <c r="A169" s="35" t="s">
        <v>45</v>
      </c>
      <c r="B169" s="34" t="s">
        <v>45</v>
      </c>
      <c r="C169" s="35" t="s">
        <v>45</v>
      </c>
      <c r="D169" s="35" t="s">
        <v>47</v>
      </c>
      <c r="E169" s="34" t="s">
        <v>229</v>
      </c>
      <c r="F169" s="35" t="s">
        <v>45</v>
      </c>
      <c r="G169" s="34" t="s">
        <v>45</v>
      </c>
      <c r="H169" s="34" t="s">
        <v>45</v>
      </c>
      <c r="I169" s="35" t="n">
        <v>2.0</v>
      </c>
      <c r="J169" s="35"/>
      <c r="K169" s="37" t="n">
        <v>1.0</v>
      </c>
    </row>
    <row r="170">
      <c r="A170" s="35" t="s">
        <v>45</v>
      </c>
      <c r="B170" s="34" t="s">
        <v>45</v>
      </c>
      <c r="C170" s="35" t="s">
        <v>45</v>
      </c>
      <c r="D170" s="35" t="s">
        <v>45</v>
      </c>
      <c r="E170" s="34" t="s">
        <v>45</v>
      </c>
      <c r="F170" s="35" t="n">
        <v>0.0</v>
      </c>
      <c r="G170" s="34" t="s">
        <v>230</v>
      </c>
      <c r="H170" s="34" t="s">
        <v>45</v>
      </c>
      <c r="I170" s="35"/>
      <c r="J170" s="35"/>
      <c r="K170" s="37"/>
    </row>
    <row r="171">
      <c r="A171" s="35" t="s">
        <v>45</v>
      </c>
      <c r="B171" s="34" t="s">
        <v>45</v>
      </c>
      <c r="C171" s="35" t="s">
        <v>45</v>
      </c>
      <c r="D171" s="35" t="s">
        <v>45</v>
      </c>
      <c r="E171" s="34" t="s">
        <v>45</v>
      </c>
      <c r="F171" s="35" t="n">
        <v>1.0</v>
      </c>
      <c r="G171" s="34" t="s">
        <v>231</v>
      </c>
      <c r="H171" s="34" t="s">
        <v>45</v>
      </c>
      <c r="I171" s="35"/>
      <c r="J171" s="35"/>
      <c r="K171" s="37"/>
    </row>
    <row r="172">
      <c r="A172" s="35" t="s">
        <v>45</v>
      </c>
      <c r="B172" s="34" t="s">
        <v>45</v>
      </c>
      <c r="C172" s="35" t="s">
        <v>45</v>
      </c>
      <c r="D172" s="35" t="s">
        <v>45</v>
      </c>
      <c r="E172" s="34" t="s">
        <v>45</v>
      </c>
      <c r="F172" s="35" t="n">
        <v>2.0</v>
      </c>
      <c r="G172" s="34" t="s">
        <v>232</v>
      </c>
      <c r="H172" s="34" t="s">
        <v>45</v>
      </c>
      <c r="I172" s="35"/>
      <c r="J172" s="35"/>
      <c r="K172" s="37"/>
    </row>
    <row r="173">
      <c r="A173" s="35" t="s">
        <v>45</v>
      </c>
      <c r="B173" s="34" t="s">
        <v>45</v>
      </c>
      <c r="C173" s="35" t="s">
        <v>45</v>
      </c>
      <c r="D173" s="35" t="s">
        <v>45</v>
      </c>
      <c r="E173" s="34" t="s">
        <v>45</v>
      </c>
      <c r="F173" s="35" t="n">
        <v>3.0</v>
      </c>
      <c r="G173" s="34" t="s">
        <v>233</v>
      </c>
      <c r="H173" s="34" t="s">
        <v>45</v>
      </c>
      <c r="I173" s="35"/>
      <c r="J173" s="35"/>
      <c r="K173" s="37"/>
    </row>
    <row r="174">
      <c r="A174" s="35" t="s">
        <v>45</v>
      </c>
      <c r="B174" s="34" t="s">
        <v>45</v>
      </c>
      <c r="C174" s="35" t="s">
        <v>45</v>
      </c>
      <c r="D174" s="35" t="s">
        <v>47</v>
      </c>
      <c r="E174" s="34" t="s">
        <v>234</v>
      </c>
      <c r="F174" s="35" t="s">
        <v>45</v>
      </c>
      <c r="G174" s="34" t="s">
        <v>45</v>
      </c>
      <c r="H174" s="34" t="s">
        <v>45</v>
      </c>
      <c r="I174" s="35" t="n">
        <v>4.0</v>
      </c>
      <c r="J174" s="35"/>
      <c r="K174" s="37" t="n">
        <v>1.5</v>
      </c>
    </row>
    <row r="175">
      <c r="A175" s="35" t="s">
        <v>45</v>
      </c>
      <c r="B175" s="34" t="s">
        <v>45</v>
      </c>
      <c r="C175" s="35" t="s">
        <v>45</v>
      </c>
      <c r="D175" s="35" t="s">
        <v>45</v>
      </c>
      <c r="E175" s="34" t="s">
        <v>45</v>
      </c>
      <c r="F175" s="35" t="n">
        <v>0.0</v>
      </c>
      <c r="G175" s="34" t="s">
        <v>235</v>
      </c>
      <c r="H175" s="34" t="s">
        <v>45</v>
      </c>
      <c r="I175" s="35"/>
      <c r="J175" s="35"/>
      <c r="K175" s="37"/>
    </row>
    <row r="176">
      <c r="A176" s="35" t="s">
        <v>45</v>
      </c>
      <c r="B176" s="34" t="s">
        <v>45</v>
      </c>
      <c r="C176" s="35" t="s">
        <v>45</v>
      </c>
      <c r="D176" s="35" t="s">
        <v>45</v>
      </c>
      <c r="E176" s="34" t="s">
        <v>45</v>
      </c>
      <c r="F176" s="35" t="n">
        <v>1.0</v>
      </c>
      <c r="G176" s="34" t="s">
        <v>236</v>
      </c>
      <c r="H176" s="34" t="s">
        <v>45</v>
      </c>
      <c r="I176" s="35"/>
      <c r="J176" s="35"/>
      <c r="K176" s="37"/>
    </row>
    <row r="177">
      <c r="A177" s="35" t="s">
        <v>45</v>
      </c>
      <c r="B177" s="34" t="s">
        <v>45</v>
      </c>
      <c r="C177" s="35" t="s">
        <v>45</v>
      </c>
      <c r="D177" s="35" t="s">
        <v>45</v>
      </c>
      <c r="E177" s="34" t="s">
        <v>45</v>
      </c>
      <c r="F177" s="35" t="n">
        <v>2.0</v>
      </c>
      <c r="G177" s="34" t="s">
        <v>237</v>
      </c>
      <c r="H177" s="34" t="s">
        <v>45</v>
      </c>
      <c r="I177" s="35"/>
      <c r="J177" s="35"/>
      <c r="K177" s="37"/>
    </row>
    <row r="178">
      <c r="A178" s="35" t="s">
        <v>45</v>
      </c>
      <c r="B178" s="34" t="s">
        <v>45</v>
      </c>
      <c r="C178" s="35" t="s">
        <v>45</v>
      </c>
      <c r="D178" s="35" t="s">
        <v>45</v>
      </c>
      <c r="E178" s="34" t="s">
        <v>45</v>
      </c>
      <c r="F178" s="35" t="n">
        <v>3.0</v>
      </c>
      <c r="G178" s="34" t="s">
        <v>238</v>
      </c>
      <c r="H178" s="34" t="s">
        <v>45</v>
      </c>
      <c r="I178" s="35"/>
      <c r="J178" s="35"/>
      <c r="K178" s="37"/>
    </row>
    <row r="179">
      <c r="A179" s="35" t="s">
        <v>45</v>
      </c>
      <c r="B179" s="34" t="s">
        <v>45</v>
      </c>
      <c r="C179" s="35" t="s">
        <v>45</v>
      </c>
      <c r="D179" s="35" t="s">
        <v>47</v>
      </c>
      <c r="E179" s="34" t="s">
        <v>239</v>
      </c>
      <c r="F179" s="35" t="s">
        <v>45</v>
      </c>
      <c r="G179" s="34" t="s">
        <v>45</v>
      </c>
      <c r="H179" s="34" t="s">
        <v>45</v>
      </c>
      <c r="I179" s="35" t="n">
        <v>4.0</v>
      </c>
      <c r="J179" s="35"/>
      <c r="K179" s="37" t="n">
        <v>1.0</v>
      </c>
    </row>
    <row r="180">
      <c r="A180" s="35" t="s">
        <v>45</v>
      </c>
      <c r="B180" s="34" t="s">
        <v>45</v>
      </c>
      <c r="C180" s="35" t="s">
        <v>45</v>
      </c>
      <c r="D180" s="35" t="s">
        <v>45</v>
      </c>
      <c r="E180" s="34" t="s">
        <v>45</v>
      </c>
      <c r="F180" s="35" t="n">
        <v>0.0</v>
      </c>
      <c r="G180" s="34" t="s">
        <v>240</v>
      </c>
      <c r="H180" s="34" t="s">
        <v>45</v>
      </c>
      <c r="I180" s="35"/>
      <c r="J180" s="35"/>
      <c r="K180" s="37"/>
    </row>
    <row r="181">
      <c r="A181" s="35" t="s">
        <v>45</v>
      </c>
      <c r="B181" s="34" t="s">
        <v>45</v>
      </c>
      <c r="C181" s="35" t="s">
        <v>45</v>
      </c>
      <c r="D181" s="35" t="s">
        <v>45</v>
      </c>
      <c r="E181" s="34" t="s">
        <v>45</v>
      </c>
      <c r="F181" s="35" t="n">
        <v>1.0</v>
      </c>
      <c r="G181" s="34" t="s">
        <v>241</v>
      </c>
      <c r="H181" s="34" t="s">
        <v>45</v>
      </c>
      <c r="I181" s="35"/>
      <c r="J181" s="35"/>
      <c r="K181" s="37"/>
    </row>
    <row r="182">
      <c r="A182" s="35" t="s">
        <v>45</v>
      </c>
      <c r="B182" s="34" t="s">
        <v>45</v>
      </c>
      <c r="C182" s="35" t="s">
        <v>45</v>
      </c>
      <c r="D182" s="35" t="s">
        <v>45</v>
      </c>
      <c r="E182" s="34" t="s">
        <v>45</v>
      </c>
      <c r="F182" s="35" t="n">
        <v>2.0</v>
      </c>
      <c r="G182" s="34" t="s">
        <v>242</v>
      </c>
      <c r="H182" s="34" t="s">
        <v>45</v>
      </c>
      <c r="I182" s="35"/>
      <c r="J182" s="35"/>
      <c r="K182" s="37"/>
    </row>
    <row r="183">
      <c r="A183" s="35" t="s">
        <v>45</v>
      </c>
      <c r="B183" s="34" t="s">
        <v>45</v>
      </c>
      <c r="C183" s="35" t="s">
        <v>45</v>
      </c>
      <c r="D183" s="35" t="s">
        <v>45</v>
      </c>
      <c r="E183" s="34" t="s">
        <v>45</v>
      </c>
      <c r="F183" s="35" t="n">
        <v>3.0</v>
      </c>
      <c r="G183" s="34" t="s">
        <v>243</v>
      </c>
      <c r="H183" s="34" t="s">
        <v>45</v>
      </c>
      <c r="I183" s="35"/>
      <c r="J183" s="35"/>
      <c r="K183" s="37"/>
    </row>
    <row r="184">
      <c r="A184" s="35" t="s">
        <v>244</v>
      </c>
      <c r="B184" s="34" t="s">
        <v>245</v>
      </c>
      <c r="C184" s="35" t="s">
        <v>155</v>
      </c>
      <c r="D184" s="34" t="s">
        <v>45</v>
      </c>
      <c r="E184" s="34" t="s">
        <v>45</v>
      </c>
      <c r="F184" s="34" t="s">
        <v>45</v>
      </c>
      <c r="G184" s="34" t="s">
        <v>45</v>
      </c>
      <c r="H184" s="34" t="s">
        <v>45</v>
      </c>
      <c r="I184" s="34" t="s">
        <v>45</v>
      </c>
      <c r="J184" s="34" t="s">
        <v>45</v>
      </c>
      <c r="K184" s="34" t="s">
        <v>45</v>
      </c>
    </row>
    <row r="185">
      <c r="A185" s="35" t="s">
        <v>45</v>
      </c>
      <c r="B185" s="34" t="s">
        <v>45</v>
      </c>
      <c r="C185" s="35" t="s">
        <v>45</v>
      </c>
      <c r="D185" s="35" t="s">
        <v>83</v>
      </c>
      <c r="E185" s="34" t="s">
        <v>246</v>
      </c>
      <c r="F185" s="35" t="s">
        <v>45</v>
      </c>
      <c r="G185" s="34" t="s">
        <v>247</v>
      </c>
      <c r="H185" s="34" t="s">
        <v>45</v>
      </c>
      <c r="I185" s="35" t="n">
        <v>1.0</v>
      </c>
      <c r="J185" s="35"/>
      <c r="K185" s="37" t="n">
        <v>0.75</v>
      </c>
    </row>
    <row r="186">
      <c r="A186" s="35" t="s">
        <v>45</v>
      </c>
      <c r="B186" s="34" t="s">
        <v>45</v>
      </c>
      <c r="C186" s="35" t="s">
        <v>45</v>
      </c>
      <c r="D186" s="35" t="s">
        <v>83</v>
      </c>
      <c r="E186" s="34" t="s">
        <v>248</v>
      </c>
      <c r="F186" s="35" t="s">
        <v>45</v>
      </c>
      <c r="G186" s="34" t="s">
        <v>249</v>
      </c>
      <c r="H186" s="34" t="s">
        <v>45</v>
      </c>
      <c r="I186" s="35" t="n">
        <v>5.0</v>
      </c>
      <c r="J186" s="35"/>
      <c r="K186" s="37" t="n">
        <v>1.0</v>
      </c>
    </row>
    <row r="187">
      <c r="A187" s="35" t="s">
        <v>45</v>
      </c>
      <c r="B187" s="34" t="s">
        <v>45</v>
      </c>
      <c r="C187" s="35" t="s">
        <v>45</v>
      </c>
      <c r="D187" s="35" t="s">
        <v>83</v>
      </c>
      <c r="E187" s="34" t="s">
        <v>250</v>
      </c>
      <c r="F187" s="35" t="s">
        <v>45</v>
      </c>
      <c r="G187" s="34" t="s">
        <v>251</v>
      </c>
      <c r="H187" s="34" t="s">
        <v>45</v>
      </c>
      <c r="I187" s="35" t="n">
        <v>3.0</v>
      </c>
      <c r="J187" s="35"/>
      <c r="K187" s="37" t="n">
        <v>0.75</v>
      </c>
    </row>
    <row r="188">
      <c r="A188" s="35" t="s">
        <v>45</v>
      </c>
      <c r="B188" s="34" t="s">
        <v>45</v>
      </c>
      <c r="C188" s="35" t="s">
        <v>45</v>
      </c>
      <c r="D188" s="35" t="s">
        <v>83</v>
      </c>
      <c r="E188" s="34" t="s">
        <v>252</v>
      </c>
      <c r="F188" s="35" t="s">
        <v>45</v>
      </c>
      <c r="G188" s="34" t="s">
        <v>253</v>
      </c>
      <c r="H188" s="34" t="s">
        <v>45</v>
      </c>
      <c r="I188" s="35" t="n">
        <v>5.0</v>
      </c>
      <c r="J188" s="35"/>
      <c r="K188" s="37" t="n">
        <v>1.0</v>
      </c>
    </row>
    <row r="189">
      <c r="A189" s="35" t="s">
        <v>254</v>
      </c>
      <c r="B189" s="34" t="s">
        <v>255</v>
      </c>
      <c r="C189" s="35" t="s">
        <v>155</v>
      </c>
      <c r="D189" s="34" t="s">
        <v>45</v>
      </c>
      <c r="E189" s="34" t="s">
        <v>45</v>
      </c>
      <c r="F189" s="34" t="s">
        <v>45</v>
      </c>
      <c r="G189" s="34" t="s">
        <v>45</v>
      </c>
      <c r="H189" s="34" t="s">
        <v>45</v>
      </c>
      <c r="I189" s="34" t="s">
        <v>45</v>
      </c>
      <c r="J189" s="34" t="s">
        <v>45</v>
      </c>
      <c r="K189" s="34" t="s">
        <v>45</v>
      </c>
    </row>
    <row r="190">
      <c r="A190" s="35" t="s">
        <v>45</v>
      </c>
      <c r="B190" s="34" t="s">
        <v>45</v>
      </c>
      <c r="C190" s="35" t="s">
        <v>45</v>
      </c>
      <c r="D190" s="35" t="s">
        <v>83</v>
      </c>
      <c r="E190" s="34" t="s">
        <v>256</v>
      </c>
      <c r="F190" s="35" t="s">
        <v>45</v>
      </c>
      <c r="G190" s="34" t="s">
        <v>257</v>
      </c>
      <c r="H190" s="34" t="s">
        <v>45</v>
      </c>
      <c r="I190" s="35" t="n">
        <v>5.0</v>
      </c>
      <c r="J190" s="35"/>
      <c r="K190" s="37" t="n">
        <v>1.5</v>
      </c>
    </row>
    <row r="191">
      <c r="A191" s="35" t="s">
        <v>45</v>
      </c>
      <c r="B191" s="34" t="s">
        <v>45</v>
      </c>
      <c r="C191" s="35" t="s">
        <v>45</v>
      </c>
      <c r="D191" s="35" t="s">
        <v>83</v>
      </c>
      <c r="E191" s="34" t="s">
        <v>258</v>
      </c>
      <c r="F191" s="35" t="s">
        <v>45</v>
      </c>
      <c r="G191" s="34" t="s">
        <v>259</v>
      </c>
      <c r="H191" s="34" t="s">
        <v>45</v>
      </c>
      <c r="I191" s="35" t="n">
        <v>5.0</v>
      </c>
      <c r="J191" s="35"/>
      <c r="K191" s="37" t="n">
        <v>0.75</v>
      </c>
    </row>
    <row r="192">
      <c r="A192" s="35" t="s">
        <v>45</v>
      </c>
      <c r="B192" s="34" t="s">
        <v>45</v>
      </c>
      <c r="C192" s="35" t="s">
        <v>45</v>
      </c>
      <c r="D192" s="35" t="s">
        <v>83</v>
      </c>
      <c r="E192" s="34" t="s">
        <v>260</v>
      </c>
      <c r="F192" s="35" t="s">
        <v>45</v>
      </c>
      <c r="G192" s="34" t="s">
        <v>261</v>
      </c>
      <c r="H192" s="34" t="s">
        <v>45</v>
      </c>
      <c r="I192" s="35" t="n">
        <v>5.0</v>
      </c>
      <c r="J192" s="35"/>
      <c r="K192" s="37" t="n">
        <v>0.5</v>
      </c>
    </row>
    <row r="193">
      <c r="A193" s="35" t="s">
        <v>45</v>
      </c>
      <c r="B193" s="34" t="s">
        <v>45</v>
      </c>
      <c r="C193" s="35" t="s">
        <v>45</v>
      </c>
      <c r="D193" s="35" t="s">
        <v>47</v>
      </c>
      <c r="E193" s="34" t="s">
        <v>104</v>
      </c>
      <c r="F193" s="35" t="s">
        <v>45</v>
      </c>
      <c r="G193" s="34" t="s">
        <v>45</v>
      </c>
      <c r="H193" s="34" t="s">
        <v>45</v>
      </c>
      <c r="I193" s="35" t="n">
        <v>2.0</v>
      </c>
      <c r="J193" s="35"/>
      <c r="K193" s="37" t="n">
        <v>0.5</v>
      </c>
    </row>
    <row r="194">
      <c r="A194" s="35" t="s">
        <v>45</v>
      </c>
      <c r="B194" s="34" t="s">
        <v>45</v>
      </c>
      <c r="C194" s="35" t="s">
        <v>45</v>
      </c>
      <c r="D194" s="35" t="s">
        <v>45</v>
      </c>
      <c r="E194" s="34" t="s">
        <v>45</v>
      </c>
      <c r="F194" s="35" t="n">
        <v>0.0</v>
      </c>
      <c r="G194" s="34" t="s">
        <v>100</v>
      </c>
      <c r="H194" s="34" t="s">
        <v>45</v>
      </c>
      <c r="I194" s="35"/>
      <c r="J194" s="35"/>
      <c r="K194" s="37"/>
    </row>
    <row r="195">
      <c r="A195" s="35" t="s">
        <v>45</v>
      </c>
      <c r="B195" s="34" t="s">
        <v>45</v>
      </c>
      <c r="C195" s="35" t="s">
        <v>45</v>
      </c>
      <c r="D195" s="35" t="s">
        <v>45</v>
      </c>
      <c r="E195" s="34" t="s">
        <v>45</v>
      </c>
      <c r="F195" s="35" t="n">
        <v>1.0</v>
      </c>
      <c r="G195" s="34" t="s">
        <v>101</v>
      </c>
      <c r="H195" s="34" t="s">
        <v>45</v>
      </c>
      <c r="I195" s="35"/>
      <c r="J195" s="35"/>
      <c r="K195" s="37"/>
    </row>
    <row r="196">
      <c r="A196" s="35" t="s">
        <v>45</v>
      </c>
      <c r="B196" s="34" t="s">
        <v>45</v>
      </c>
      <c r="C196" s="35" t="s">
        <v>45</v>
      </c>
      <c r="D196" s="35" t="s">
        <v>45</v>
      </c>
      <c r="E196" s="34" t="s">
        <v>45</v>
      </c>
      <c r="F196" s="35" t="n">
        <v>2.0</v>
      </c>
      <c r="G196" s="34" t="s">
        <v>262</v>
      </c>
      <c r="H196" s="34" t="s">
        <v>45</v>
      </c>
      <c r="I196" s="35"/>
      <c r="J196" s="35"/>
      <c r="K196" s="37"/>
    </row>
    <row r="197">
      <c r="A197" s="35" t="s">
        <v>45</v>
      </c>
      <c r="B197" s="34" t="s">
        <v>45</v>
      </c>
      <c r="C197" s="35" t="s">
        <v>45</v>
      </c>
      <c r="D197" s="35" t="s">
        <v>45</v>
      </c>
      <c r="E197" s="34" t="s">
        <v>45</v>
      </c>
      <c r="F197" s="35" t="n">
        <v>3.0</v>
      </c>
      <c r="G197" s="34" t="s">
        <v>103</v>
      </c>
      <c r="H197" s="34" t="s">
        <v>45</v>
      </c>
      <c r="I197" s="35"/>
      <c r="J197" s="35"/>
      <c r="K197" s="37"/>
    </row>
    <row r="198">
      <c r="A198" s="35" t="s">
        <v>45</v>
      </c>
      <c r="B198" s="34" t="s">
        <v>45</v>
      </c>
      <c r="C198" s="35" t="s">
        <v>45</v>
      </c>
      <c r="D198" s="35" t="s">
        <v>47</v>
      </c>
      <c r="E198" s="34" t="s">
        <v>263</v>
      </c>
      <c r="F198" s="35" t="s">
        <v>45</v>
      </c>
      <c r="G198" s="34" t="s">
        <v>45</v>
      </c>
      <c r="H198" s="34" t="s">
        <v>45</v>
      </c>
      <c r="I198" s="35" t="n">
        <v>2.0</v>
      </c>
      <c r="J198" s="35"/>
      <c r="K198" s="37" t="n">
        <v>0.5</v>
      </c>
    </row>
    <row r="199">
      <c r="A199" s="35" t="s">
        <v>45</v>
      </c>
      <c r="B199" s="34" t="s">
        <v>45</v>
      </c>
      <c r="C199" s="35" t="s">
        <v>45</v>
      </c>
      <c r="D199" s="35" t="s">
        <v>45</v>
      </c>
      <c r="E199" s="34" t="s">
        <v>45</v>
      </c>
      <c r="F199" s="35" t="n">
        <v>0.0</v>
      </c>
      <c r="G199" s="34" t="s">
        <v>264</v>
      </c>
      <c r="H199" s="34" t="s">
        <v>45</v>
      </c>
      <c r="I199" s="35"/>
      <c r="J199" s="35"/>
      <c r="K199" s="37"/>
    </row>
    <row r="200">
      <c r="A200" s="35" t="s">
        <v>45</v>
      </c>
      <c r="B200" s="34" t="s">
        <v>45</v>
      </c>
      <c r="C200" s="35" t="s">
        <v>45</v>
      </c>
      <c r="D200" s="35" t="s">
        <v>45</v>
      </c>
      <c r="E200" s="34" t="s">
        <v>45</v>
      </c>
      <c r="F200" s="35" t="n">
        <v>1.0</v>
      </c>
      <c r="G200" s="34" t="s">
        <v>265</v>
      </c>
      <c r="H200" s="34" t="s">
        <v>45</v>
      </c>
      <c r="I200" s="35"/>
      <c r="J200" s="35"/>
      <c r="K200" s="37"/>
    </row>
    <row r="201">
      <c r="A201" s="35" t="s">
        <v>45</v>
      </c>
      <c r="B201" s="34" t="s">
        <v>45</v>
      </c>
      <c r="C201" s="35" t="s">
        <v>45</v>
      </c>
      <c r="D201" s="35" t="s">
        <v>45</v>
      </c>
      <c r="E201" s="34" t="s">
        <v>45</v>
      </c>
      <c r="F201" s="35" t="n">
        <v>2.0</v>
      </c>
      <c r="G201" s="34" t="s">
        <v>266</v>
      </c>
      <c r="H201" s="34" t="s">
        <v>45</v>
      </c>
      <c r="I201" s="35"/>
      <c r="J201" s="35"/>
      <c r="K201" s="37"/>
    </row>
    <row r="202">
      <c r="A202" s="35" t="s">
        <v>45</v>
      </c>
      <c r="B202" s="34" t="s">
        <v>45</v>
      </c>
      <c r="C202" s="35" t="s">
        <v>45</v>
      </c>
      <c r="D202" s="35" t="s">
        <v>45</v>
      </c>
      <c r="E202" s="34" t="s">
        <v>45</v>
      </c>
      <c r="F202" s="35" t="n">
        <v>3.0</v>
      </c>
      <c r="G202" s="34" t="s">
        <v>267</v>
      </c>
      <c r="H202" s="34" t="s">
        <v>45</v>
      </c>
      <c r="I202" s="35"/>
      <c r="J202" s="35"/>
      <c r="K202" s="37"/>
    </row>
    <row r="203">
      <c r="A203" s="35" t="s">
        <v>45</v>
      </c>
      <c r="B203" s="34" t="s">
        <v>45</v>
      </c>
      <c r="C203" s="35" t="s">
        <v>45</v>
      </c>
      <c r="D203" s="35" t="s">
        <v>45</v>
      </c>
      <c r="E203" s="34" t="s">
        <v>45</v>
      </c>
      <c r="F203" s="35" t="s">
        <v>45</v>
      </c>
      <c r="G203" s="34" t="s">
        <v>45</v>
      </c>
      <c r="H203" s="34" t="s">
        <v>45</v>
      </c>
      <c r="I203" s="35"/>
      <c r="J203" s="35"/>
      <c r="K203" s="37"/>
    </row>
    <row r="204">
      <c r="A204" s="35" t="s">
        <v>45</v>
      </c>
      <c r="B204" s="34" t="s">
        <v>45</v>
      </c>
      <c r="C204" s="35" t="s">
        <v>45</v>
      </c>
      <c r="D204" s="35" t="s">
        <v>45</v>
      </c>
      <c r="E204" s="34" t="s">
        <v>45</v>
      </c>
      <c r="F204" s="35" t="s">
        <v>45</v>
      </c>
      <c r="G204" s="34" t="s">
        <v>45</v>
      </c>
      <c r="H204" s="34" t="s">
        <v>45</v>
      </c>
      <c r="I204" s="35"/>
      <c r="J204" s="35"/>
      <c r="K204" s="37"/>
    </row>
    <row r="205">
      <c r="A205" s="58" t="s">
        <v>15</v>
      </c>
      <c r="B205" s="59" t="s">
        <v>16</v>
      </c>
      <c r="C205" s="60" t="s">
        <v>10</v>
      </c>
      <c r="D205" s="61" t="s">
        <v>6</v>
      </c>
      <c r="E205" s="62" t="s">
        <v>1</v>
      </c>
      <c r="F205" s="63" t="s">
        <v>2</v>
      </c>
      <c r="G205" s="64" t="s">
        <v>8</v>
      </c>
      <c r="H205" s="65" t="s">
        <v>9</v>
      </c>
      <c r="I205" s="66" t="s">
        <v>23</v>
      </c>
      <c r="J205" s="67" t="s">
        <v>11</v>
      </c>
      <c r="K205" s="68" t="s">
        <v>3</v>
      </c>
      <c r="L205" s="69" t="s">
        <v>268</v>
      </c>
      <c r="M205" s="70" t="s">
        <v>4</v>
      </c>
      <c r="N205" s="71">
        <f>SUM(K206:K299)</f>
      </c>
    </row>
    <row r="206">
      <c r="A206" s="35" t="s">
        <v>269</v>
      </c>
      <c r="B206" s="34" t="s">
        <v>270</v>
      </c>
      <c r="C206" s="35" t="s">
        <v>271</v>
      </c>
      <c r="D206" s="34" t="s">
        <v>45</v>
      </c>
      <c r="E206" s="34" t="s">
        <v>45</v>
      </c>
      <c r="F206" s="34" t="s">
        <v>45</v>
      </c>
      <c r="G206" s="34" t="s">
        <v>45</v>
      </c>
      <c r="H206" s="34" t="s">
        <v>45</v>
      </c>
      <c r="I206" s="34" t="s">
        <v>45</v>
      </c>
      <c r="J206" s="34" t="s">
        <v>45</v>
      </c>
      <c r="K206" s="34" t="s">
        <v>45</v>
      </c>
    </row>
    <row r="207">
      <c r="A207" s="35" t="s">
        <v>45</v>
      </c>
      <c r="B207" s="34" t="s">
        <v>45</v>
      </c>
      <c r="C207" s="35" t="s">
        <v>45</v>
      </c>
      <c r="D207" s="35" t="s">
        <v>47</v>
      </c>
      <c r="E207" s="34" t="s">
        <v>272</v>
      </c>
      <c r="F207" s="35" t="s">
        <v>45</v>
      </c>
      <c r="G207" s="34" t="s">
        <v>45</v>
      </c>
      <c r="H207" s="34" t="s">
        <v>45</v>
      </c>
      <c r="I207" s="35" t="n">
        <v>4.0</v>
      </c>
      <c r="J207" s="35"/>
      <c r="K207" s="37" t="n">
        <v>1.0</v>
      </c>
    </row>
    <row r="208">
      <c r="A208" s="35" t="s">
        <v>45</v>
      </c>
      <c r="B208" s="34" t="s">
        <v>45</v>
      </c>
      <c r="C208" s="35" t="s">
        <v>45</v>
      </c>
      <c r="D208" s="35" t="s">
        <v>45</v>
      </c>
      <c r="E208" s="34" t="s">
        <v>45</v>
      </c>
      <c r="F208" s="35" t="n">
        <v>0.0</v>
      </c>
      <c r="G208" s="34" t="s">
        <v>273</v>
      </c>
      <c r="H208" s="34" t="s">
        <v>45</v>
      </c>
      <c r="I208" s="35"/>
      <c r="J208" s="35"/>
      <c r="K208" s="37"/>
    </row>
    <row r="209">
      <c r="A209" s="35" t="s">
        <v>45</v>
      </c>
      <c r="B209" s="34" t="s">
        <v>45</v>
      </c>
      <c r="C209" s="35" t="s">
        <v>45</v>
      </c>
      <c r="D209" s="35" t="s">
        <v>45</v>
      </c>
      <c r="E209" s="34" t="s">
        <v>45</v>
      </c>
      <c r="F209" s="35" t="n">
        <v>1.0</v>
      </c>
      <c r="G209" s="34" t="s">
        <v>274</v>
      </c>
      <c r="H209" s="34" t="s">
        <v>45</v>
      </c>
      <c r="I209" s="35"/>
      <c r="J209" s="35"/>
      <c r="K209" s="37"/>
    </row>
    <row r="210">
      <c r="A210" s="35" t="s">
        <v>45</v>
      </c>
      <c r="B210" s="34" t="s">
        <v>45</v>
      </c>
      <c r="C210" s="35" t="s">
        <v>45</v>
      </c>
      <c r="D210" s="35" t="s">
        <v>45</v>
      </c>
      <c r="E210" s="34" t="s">
        <v>45</v>
      </c>
      <c r="F210" s="35" t="n">
        <v>2.0</v>
      </c>
      <c r="G210" s="34" t="s">
        <v>275</v>
      </c>
      <c r="H210" s="34" t="s">
        <v>45</v>
      </c>
      <c r="I210" s="35"/>
      <c r="J210" s="35"/>
      <c r="K210" s="37"/>
    </row>
    <row r="211">
      <c r="A211" s="35" t="s">
        <v>45</v>
      </c>
      <c r="B211" s="34" t="s">
        <v>45</v>
      </c>
      <c r="C211" s="35" t="s">
        <v>45</v>
      </c>
      <c r="D211" s="35" t="s">
        <v>45</v>
      </c>
      <c r="E211" s="34" t="s">
        <v>45</v>
      </c>
      <c r="F211" s="35" t="n">
        <v>3.0</v>
      </c>
      <c r="G211" s="34" t="s">
        <v>276</v>
      </c>
      <c r="H211" s="34" t="s">
        <v>45</v>
      </c>
      <c r="I211" s="35"/>
      <c r="J211" s="35"/>
      <c r="K211" s="37"/>
    </row>
    <row r="212">
      <c r="A212" s="35" t="s">
        <v>277</v>
      </c>
      <c r="B212" s="34" t="s">
        <v>278</v>
      </c>
      <c r="C212" s="35" t="s">
        <v>271</v>
      </c>
      <c r="D212" s="34" t="s">
        <v>45</v>
      </c>
      <c r="E212" s="34" t="s">
        <v>45</v>
      </c>
      <c r="F212" s="34" t="s">
        <v>45</v>
      </c>
      <c r="G212" s="34" t="s">
        <v>45</v>
      </c>
      <c r="H212" s="34" t="s">
        <v>45</v>
      </c>
      <c r="I212" s="34" t="s">
        <v>45</v>
      </c>
      <c r="J212" s="34" t="s">
        <v>45</v>
      </c>
      <c r="K212" s="34" t="s">
        <v>45</v>
      </c>
    </row>
    <row r="213">
      <c r="A213" s="35" t="s">
        <v>45</v>
      </c>
      <c r="B213" s="34" t="s">
        <v>45</v>
      </c>
      <c r="C213" s="35" t="s">
        <v>45</v>
      </c>
      <c r="D213" s="35" t="s">
        <v>83</v>
      </c>
      <c r="E213" s="34" t="s">
        <v>246</v>
      </c>
      <c r="F213" s="35" t="s">
        <v>45</v>
      </c>
      <c r="G213" s="34" t="s">
        <v>279</v>
      </c>
      <c r="H213" s="34" t="s">
        <v>45</v>
      </c>
      <c r="I213" s="35" t="n">
        <v>1.0</v>
      </c>
      <c r="J213" s="35"/>
      <c r="K213" s="37" t="n">
        <v>0.5</v>
      </c>
    </row>
    <row r="214">
      <c r="A214" s="35" t="s">
        <v>45</v>
      </c>
      <c r="B214" s="34" t="s">
        <v>45</v>
      </c>
      <c r="C214" s="35" t="s">
        <v>45</v>
      </c>
      <c r="D214" s="35" t="s">
        <v>83</v>
      </c>
      <c r="E214" s="34" t="s">
        <v>280</v>
      </c>
      <c r="F214" s="35" t="s">
        <v>45</v>
      </c>
      <c r="G214" s="34" t="s">
        <v>281</v>
      </c>
      <c r="H214" s="34" t="s">
        <v>45</v>
      </c>
      <c r="I214" s="35" t="n">
        <v>5.0</v>
      </c>
      <c r="J214" s="35"/>
      <c r="K214" s="37" t="n">
        <v>0.25</v>
      </c>
    </row>
    <row r="215">
      <c r="A215" s="35" t="s">
        <v>45</v>
      </c>
      <c r="B215" s="34" t="s">
        <v>45</v>
      </c>
      <c r="C215" s="35" t="s">
        <v>45</v>
      </c>
      <c r="D215" s="35" t="s">
        <v>83</v>
      </c>
      <c r="E215" s="34" t="s">
        <v>282</v>
      </c>
      <c r="F215" s="35" t="s">
        <v>45</v>
      </c>
      <c r="G215" s="34" t="s">
        <v>283</v>
      </c>
      <c r="H215" s="34" t="s">
        <v>45</v>
      </c>
      <c r="I215" s="35" t="n">
        <v>5.0</v>
      </c>
      <c r="J215" s="35"/>
      <c r="K215" s="37" t="n">
        <v>0.25</v>
      </c>
    </row>
    <row r="216">
      <c r="A216" s="35" t="s">
        <v>45</v>
      </c>
      <c r="B216" s="34" t="s">
        <v>45</v>
      </c>
      <c r="C216" s="35" t="s">
        <v>45</v>
      </c>
      <c r="D216" s="35" t="s">
        <v>83</v>
      </c>
      <c r="E216" s="34" t="s">
        <v>284</v>
      </c>
      <c r="F216" s="35" t="s">
        <v>45</v>
      </c>
      <c r="G216" s="34" t="s">
        <v>285</v>
      </c>
      <c r="H216" s="34" t="s">
        <v>45</v>
      </c>
      <c r="I216" s="35" t="n">
        <v>2.0</v>
      </c>
      <c r="J216" s="35"/>
      <c r="K216" s="37" t="n">
        <v>0.5</v>
      </c>
    </row>
    <row r="217">
      <c r="A217" s="35" t="s">
        <v>286</v>
      </c>
      <c r="B217" s="34" t="s">
        <v>287</v>
      </c>
      <c r="C217" s="35" t="s">
        <v>271</v>
      </c>
      <c r="D217" s="34" t="s">
        <v>45</v>
      </c>
      <c r="E217" s="34" t="s">
        <v>45</v>
      </c>
      <c r="F217" s="34" t="s">
        <v>45</v>
      </c>
      <c r="G217" s="34" t="s">
        <v>45</v>
      </c>
      <c r="H217" s="34" t="s">
        <v>45</v>
      </c>
      <c r="I217" s="34" t="s">
        <v>45</v>
      </c>
      <c r="J217" s="34" t="s">
        <v>45</v>
      </c>
      <c r="K217" s="34" t="s">
        <v>45</v>
      </c>
    </row>
    <row r="218">
      <c r="A218" s="35" t="s">
        <v>45</v>
      </c>
      <c r="B218" s="34" t="s">
        <v>45</v>
      </c>
      <c r="C218" s="35" t="s">
        <v>45</v>
      </c>
      <c r="D218" s="35" t="s">
        <v>83</v>
      </c>
      <c r="E218" s="34" t="s">
        <v>288</v>
      </c>
      <c r="F218" s="35" t="s">
        <v>45</v>
      </c>
      <c r="G218" s="34" t="s">
        <v>289</v>
      </c>
      <c r="H218" s="34" t="s">
        <v>45</v>
      </c>
      <c r="I218" s="35" t="n">
        <v>5.0</v>
      </c>
      <c r="J218" s="35"/>
      <c r="K218" s="37" t="n">
        <v>0.25</v>
      </c>
    </row>
    <row r="219">
      <c r="A219" s="35" t="s">
        <v>45</v>
      </c>
      <c r="B219" s="34" t="s">
        <v>45</v>
      </c>
      <c r="C219" s="35" t="s">
        <v>45</v>
      </c>
      <c r="D219" s="35" t="s">
        <v>83</v>
      </c>
      <c r="E219" s="34" t="s">
        <v>290</v>
      </c>
      <c r="F219" s="35" t="s">
        <v>45</v>
      </c>
      <c r="G219" s="34" t="s">
        <v>291</v>
      </c>
      <c r="H219" s="34" t="s">
        <v>45</v>
      </c>
      <c r="I219" s="35" t="n">
        <v>5.0</v>
      </c>
      <c r="J219" s="35"/>
      <c r="K219" s="37" t="n">
        <v>1.0</v>
      </c>
    </row>
    <row r="220">
      <c r="A220" s="35" t="s">
        <v>45</v>
      </c>
      <c r="B220" s="34" t="s">
        <v>45</v>
      </c>
      <c r="C220" s="35" t="s">
        <v>45</v>
      </c>
      <c r="D220" s="35" t="s">
        <v>83</v>
      </c>
      <c r="E220" s="34" t="s">
        <v>292</v>
      </c>
      <c r="F220" s="35" t="s">
        <v>45</v>
      </c>
      <c r="G220" s="34" t="s">
        <v>293</v>
      </c>
      <c r="H220" s="34" t="s">
        <v>45</v>
      </c>
      <c r="I220" s="35" t="n">
        <v>5.0</v>
      </c>
      <c r="J220" s="35"/>
      <c r="K220" s="37" t="n">
        <v>0.25</v>
      </c>
    </row>
    <row r="221">
      <c r="A221" s="35" t="s">
        <v>45</v>
      </c>
      <c r="B221" s="34" t="s">
        <v>45</v>
      </c>
      <c r="C221" s="35" t="s">
        <v>45</v>
      </c>
      <c r="D221" s="35" t="s">
        <v>83</v>
      </c>
      <c r="E221" s="34" t="s">
        <v>294</v>
      </c>
      <c r="F221" s="35" t="s">
        <v>45</v>
      </c>
      <c r="G221" s="34" t="s">
        <v>295</v>
      </c>
      <c r="H221" s="34" t="s">
        <v>45</v>
      </c>
      <c r="I221" s="35" t="n">
        <v>5.0</v>
      </c>
      <c r="J221" s="35"/>
      <c r="K221" s="37" t="n">
        <v>0.25</v>
      </c>
    </row>
    <row r="222">
      <c r="A222" s="35" t="s">
        <v>296</v>
      </c>
      <c r="B222" s="34" t="s">
        <v>297</v>
      </c>
      <c r="C222" s="35" t="s">
        <v>271</v>
      </c>
      <c r="D222" s="34" t="s">
        <v>45</v>
      </c>
      <c r="E222" s="34" t="s">
        <v>45</v>
      </c>
      <c r="F222" s="34" t="s">
        <v>45</v>
      </c>
      <c r="G222" s="34" t="s">
        <v>45</v>
      </c>
      <c r="H222" s="34" t="s">
        <v>45</v>
      </c>
      <c r="I222" s="34" t="s">
        <v>45</v>
      </c>
      <c r="J222" s="34" t="s">
        <v>45</v>
      </c>
      <c r="K222" s="34" t="s">
        <v>45</v>
      </c>
    </row>
    <row r="223">
      <c r="A223" s="35" t="s">
        <v>45</v>
      </c>
      <c r="B223" s="34" t="s">
        <v>45</v>
      </c>
      <c r="C223" s="35" t="s">
        <v>45</v>
      </c>
      <c r="D223" s="35" t="s">
        <v>83</v>
      </c>
      <c r="E223" s="34" t="s">
        <v>298</v>
      </c>
      <c r="F223" s="35" t="s">
        <v>45</v>
      </c>
      <c r="G223" s="34" t="s">
        <v>299</v>
      </c>
      <c r="H223" s="34" t="s">
        <v>45</v>
      </c>
      <c r="I223" s="35" t="n">
        <v>1.0</v>
      </c>
      <c r="J223" s="35"/>
      <c r="K223" s="37" t="n">
        <v>0.25</v>
      </c>
    </row>
    <row r="224">
      <c r="A224" s="35" t="s">
        <v>45</v>
      </c>
      <c r="B224" s="34" t="s">
        <v>45</v>
      </c>
      <c r="C224" s="35" t="s">
        <v>45</v>
      </c>
      <c r="D224" s="35" t="s">
        <v>83</v>
      </c>
      <c r="E224" s="34" t="s">
        <v>300</v>
      </c>
      <c r="F224" s="35" t="s">
        <v>45</v>
      </c>
      <c r="G224" s="34" t="s">
        <v>301</v>
      </c>
      <c r="H224" s="34" t="s">
        <v>45</v>
      </c>
      <c r="I224" s="35" t="n">
        <v>5.0</v>
      </c>
      <c r="J224" s="35"/>
      <c r="K224" s="37" t="n">
        <v>0.5</v>
      </c>
    </row>
    <row r="225">
      <c r="A225" s="35" t="s">
        <v>302</v>
      </c>
      <c r="B225" s="34" t="s">
        <v>303</v>
      </c>
      <c r="C225" s="35" t="s">
        <v>271</v>
      </c>
      <c r="D225" s="34" t="s">
        <v>45</v>
      </c>
      <c r="E225" s="34" t="s">
        <v>45</v>
      </c>
      <c r="F225" s="34" t="s">
        <v>45</v>
      </c>
      <c r="G225" s="34" t="s">
        <v>45</v>
      </c>
      <c r="H225" s="34" t="s">
        <v>45</v>
      </c>
      <c r="I225" s="34" t="s">
        <v>45</v>
      </c>
      <c r="J225" s="34" t="s">
        <v>45</v>
      </c>
      <c r="K225" s="34" t="s">
        <v>45</v>
      </c>
    </row>
    <row r="226">
      <c r="A226" s="35" t="s">
        <v>45</v>
      </c>
      <c r="B226" s="34" t="s">
        <v>45</v>
      </c>
      <c r="C226" s="35" t="s">
        <v>45</v>
      </c>
      <c r="D226" s="35" t="s">
        <v>83</v>
      </c>
      <c r="E226" s="34" t="s">
        <v>304</v>
      </c>
      <c r="F226" s="35" t="s">
        <v>45</v>
      </c>
      <c r="G226" s="34" t="s">
        <v>305</v>
      </c>
      <c r="H226" s="34" t="s">
        <v>45</v>
      </c>
      <c r="I226" s="35" t="n">
        <v>1.0</v>
      </c>
      <c r="J226" s="35"/>
      <c r="K226" s="37" t="n">
        <v>0.5</v>
      </c>
    </row>
    <row r="227">
      <c r="A227" s="35" t="s">
        <v>45</v>
      </c>
      <c r="B227" s="34" t="s">
        <v>45</v>
      </c>
      <c r="C227" s="35" t="s">
        <v>45</v>
      </c>
      <c r="D227" s="35" t="s">
        <v>83</v>
      </c>
      <c r="E227" s="34" t="s">
        <v>306</v>
      </c>
      <c r="F227" s="35" t="s">
        <v>45</v>
      </c>
      <c r="G227" s="34" t="s">
        <v>307</v>
      </c>
      <c r="H227" s="34" t="s">
        <v>45</v>
      </c>
      <c r="I227" s="35" t="n">
        <v>1.0</v>
      </c>
      <c r="J227" s="35"/>
      <c r="K227" s="37" t="n">
        <v>0.25</v>
      </c>
    </row>
    <row r="228">
      <c r="A228" s="35" t="s">
        <v>45</v>
      </c>
      <c r="B228" s="34" t="s">
        <v>45</v>
      </c>
      <c r="C228" s="35" t="s">
        <v>45</v>
      </c>
      <c r="D228" s="35" t="s">
        <v>83</v>
      </c>
      <c r="E228" s="34" t="s">
        <v>308</v>
      </c>
      <c r="F228" s="35" t="s">
        <v>45</v>
      </c>
      <c r="G228" s="34" t="s">
        <v>309</v>
      </c>
      <c r="H228" s="34" t="s">
        <v>45</v>
      </c>
      <c r="I228" s="35" t="n">
        <v>5.0</v>
      </c>
      <c r="J228" s="35"/>
      <c r="K228" s="37" t="n">
        <v>0.25</v>
      </c>
    </row>
    <row r="229">
      <c r="A229" s="35" t="s">
        <v>310</v>
      </c>
      <c r="B229" s="34" t="s">
        <v>311</v>
      </c>
      <c r="C229" s="35" t="s">
        <v>271</v>
      </c>
      <c r="D229" s="34" t="s">
        <v>45</v>
      </c>
      <c r="E229" s="34" t="s">
        <v>45</v>
      </c>
      <c r="F229" s="34" t="s">
        <v>45</v>
      </c>
      <c r="G229" s="34" t="s">
        <v>45</v>
      </c>
      <c r="H229" s="34" t="s">
        <v>45</v>
      </c>
      <c r="I229" s="34" t="s">
        <v>45</v>
      </c>
      <c r="J229" s="34" t="s">
        <v>45</v>
      </c>
      <c r="K229" s="34" t="s">
        <v>45</v>
      </c>
    </row>
    <row r="230">
      <c r="A230" s="35" t="s">
        <v>45</v>
      </c>
      <c r="B230" s="34" t="s">
        <v>45</v>
      </c>
      <c r="C230" s="35" t="s">
        <v>45</v>
      </c>
      <c r="D230" s="35" t="s">
        <v>47</v>
      </c>
      <c r="E230" s="34" t="s">
        <v>312</v>
      </c>
      <c r="F230" s="35" t="s">
        <v>45</v>
      </c>
      <c r="G230" s="34" t="s">
        <v>45</v>
      </c>
      <c r="H230" s="34" t="s">
        <v>45</v>
      </c>
      <c r="I230" s="35" t="n">
        <v>4.0</v>
      </c>
      <c r="J230" s="35"/>
      <c r="K230" s="37" t="n">
        <v>1.0</v>
      </c>
    </row>
    <row r="231">
      <c r="A231" s="35" t="s">
        <v>45</v>
      </c>
      <c r="B231" s="34" t="s">
        <v>45</v>
      </c>
      <c r="C231" s="35" t="s">
        <v>45</v>
      </c>
      <c r="D231" s="35" t="s">
        <v>45</v>
      </c>
      <c r="E231" s="34" t="s">
        <v>45</v>
      </c>
      <c r="F231" s="35" t="n">
        <v>0.0</v>
      </c>
      <c r="G231" s="34" t="s">
        <v>313</v>
      </c>
      <c r="H231" s="34" t="s">
        <v>45</v>
      </c>
      <c r="I231" s="35"/>
      <c r="J231" s="35"/>
      <c r="K231" s="37"/>
    </row>
    <row r="232">
      <c r="A232" s="35" t="s">
        <v>45</v>
      </c>
      <c r="B232" s="34" t="s">
        <v>45</v>
      </c>
      <c r="C232" s="35" t="s">
        <v>45</v>
      </c>
      <c r="D232" s="35" t="s">
        <v>45</v>
      </c>
      <c r="E232" s="34" t="s">
        <v>45</v>
      </c>
      <c r="F232" s="35" t="n">
        <v>1.0</v>
      </c>
      <c r="G232" s="34" t="s">
        <v>314</v>
      </c>
      <c r="H232" s="34" t="s">
        <v>45</v>
      </c>
      <c r="I232" s="35"/>
      <c r="J232" s="35"/>
      <c r="K232" s="37"/>
    </row>
    <row r="233">
      <c r="A233" s="35" t="s">
        <v>45</v>
      </c>
      <c r="B233" s="34" t="s">
        <v>45</v>
      </c>
      <c r="C233" s="35" t="s">
        <v>45</v>
      </c>
      <c r="D233" s="35" t="s">
        <v>45</v>
      </c>
      <c r="E233" s="34" t="s">
        <v>45</v>
      </c>
      <c r="F233" s="35" t="n">
        <v>2.0</v>
      </c>
      <c r="G233" s="34" t="s">
        <v>315</v>
      </c>
      <c r="H233" s="34" t="s">
        <v>45</v>
      </c>
      <c r="I233" s="35"/>
      <c r="J233" s="35"/>
      <c r="K233" s="37"/>
    </row>
    <row r="234">
      <c r="A234" s="35" t="s">
        <v>45</v>
      </c>
      <c r="B234" s="34" t="s">
        <v>45</v>
      </c>
      <c r="C234" s="35" t="s">
        <v>45</v>
      </c>
      <c r="D234" s="35" t="s">
        <v>45</v>
      </c>
      <c r="E234" s="34" t="s">
        <v>45</v>
      </c>
      <c r="F234" s="35" t="n">
        <v>3.0</v>
      </c>
      <c r="G234" s="34" t="s">
        <v>316</v>
      </c>
      <c r="H234" s="34" t="s">
        <v>45</v>
      </c>
      <c r="I234" s="35"/>
      <c r="J234" s="35"/>
      <c r="K234" s="37"/>
    </row>
    <row r="235">
      <c r="A235" s="35" t="s">
        <v>45</v>
      </c>
      <c r="B235" s="34" t="s">
        <v>45</v>
      </c>
      <c r="C235" s="35" t="s">
        <v>45</v>
      </c>
      <c r="D235" s="35" t="s">
        <v>47</v>
      </c>
      <c r="E235" s="34" t="s">
        <v>317</v>
      </c>
      <c r="F235" s="35" t="s">
        <v>45</v>
      </c>
      <c r="G235" s="34" t="s">
        <v>45</v>
      </c>
      <c r="H235" s="34" t="s">
        <v>45</v>
      </c>
      <c r="I235" s="35" t="n">
        <v>4.0</v>
      </c>
      <c r="J235" s="35"/>
      <c r="K235" s="37" t="n">
        <v>1.0</v>
      </c>
    </row>
    <row r="236">
      <c r="A236" s="35" t="s">
        <v>45</v>
      </c>
      <c r="B236" s="34" t="s">
        <v>45</v>
      </c>
      <c r="C236" s="35" t="s">
        <v>45</v>
      </c>
      <c r="D236" s="35" t="s">
        <v>45</v>
      </c>
      <c r="E236" s="34" t="s">
        <v>45</v>
      </c>
      <c r="F236" s="35" t="n">
        <v>0.0</v>
      </c>
      <c r="G236" s="34" t="s">
        <v>49</v>
      </c>
      <c r="H236" s="34" t="s">
        <v>45</v>
      </c>
      <c r="I236" s="35"/>
      <c r="J236" s="35"/>
      <c r="K236" s="37"/>
    </row>
    <row r="237">
      <c r="A237" s="35" t="s">
        <v>45</v>
      </c>
      <c r="B237" s="34" t="s">
        <v>45</v>
      </c>
      <c r="C237" s="35" t="s">
        <v>45</v>
      </c>
      <c r="D237" s="35" t="s">
        <v>45</v>
      </c>
      <c r="E237" s="34" t="s">
        <v>45</v>
      </c>
      <c r="F237" s="35" t="n">
        <v>1.0</v>
      </c>
      <c r="G237" s="34" t="s">
        <v>318</v>
      </c>
      <c r="H237" s="34" t="s">
        <v>45</v>
      </c>
      <c r="I237" s="35"/>
      <c r="J237" s="35"/>
      <c r="K237" s="37"/>
    </row>
    <row r="238">
      <c r="A238" s="35" t="s">
        <v>45</v>
      </c>
      <c r="B238" s="34" t="s">
        <v>45</v>
      </c>
      <c r="C238" s="35" t="s">
        <v>45</v>
      </c>
      <c r="D238" s="35" t="s">
        <v>45</v>
      </c>
      <c r="E238" s="34" t="s">
        <v>45</v>
      </c>
      <c r="F238" s="35" t="n">
        <v>2.0</v>
      </c>
      <c r="G238" s="34" t="s">
        <v>51</v>
      </c>
      <c r="H238" s="34" t="s">
        <v>45</v>
      </c>
      <c r="I238" s="35"/>
      <c r="J238" s="35"/>
      <c r="K238" s="37"/>
    </row>
    <row r="239">
      <c r="A239" s="35" t="s">
        <v>45</v>
      </c>
      <c r="B239" s="34" t="s">
        <v>45</v>
      </c>
      <c r="C239" s="35" t="s">
        <v>45</v>
      </c>
      <c r="D239" s="35" t="s">
        <v>45</v>
      </c>
      <c r="E239" s="34" t="s">
        <v>45</v>
      </c>
      <c r="F239" s="35" t="n">
        <v>3.0</v>
      </c>
      <c r="G239" s="34" t="s">
        <v>319</v>
      </c>
      <c r="H239" s="34" t="s">
        <v>45</v>
      </c>
      <c r="I239" s="35"/>
      <c r="J239" s="35"/>
      <c r="K239" s="37"/>
    </row>
    <row r="240">
      <c r="A240" s="35" t="s">
        <v>45</v>
      </c>
      <c r="B240" s="34" t="s">
        <v>45</v>
      </c>
      <c r="C240" s="35" t="s">
        <v>45</v>
      </c>
      <c r="D240" s="35" t="s">
        <v>47</v>
      </c>
      <c r="E240" s="34" t="s">
        <v>320</v>
      </c>
      <c r="F240" s="35" t="s">
        <v>45</v>
      </c>
      <c r="G240" s="34" t="s">
        <v>45</v>
      </c>
      <c r="H240" s="34" t="s">
        <v>45</v>
      </c>
      <c r="I240" s="35" t="n">
        <v>4.0</v>
      </c>
      <c r="J240" s="35"/>
      <c r="K240" s="37" t="n">
        <v>1.0</v>
      </c>
    </row>
    <row r="241">
      <c r="A241" s="35" t="s">
        <v>45</v>
      </c>
      <c r="B241" s="34" t="s">
        <v>45</v>
      </c>
      <c r="C241" s="35" t="s">
        <v>45</v>
      </c>
      <c r="D241" s="35" t="s">
        <v>45</v>
      </c>
      <c r="E241" s="34" t="s">
        <v>45</v>
      </c>
      <c r="F241" s="35" t="n">
        <v>0.0</v>
      </c>
      <c r="G241" s="34" t="s">
        <v>321</v>
      </c>
      <c r="H241" s="34" t="s">
        <v>45</v>
      </c>
      <c r="I241" s="35"/>
      <c r="J241" s="35"/>
      <c r="K241" s="37"/>
    </row>
    <row r="242">
      <c r="A242" s="35" t="s">
        <v>45</v>
      </c>
      <c r="B242" s="34" t="s">
        <v>45</v>
      </c>
      <c r="C242" s="35" t="s">
        <v>45</v>
      </c>
      <c r="D242" s="35" t="s">
        <v>45</v>
      </c>
      <c r="E242" s="34" t="s">
        <v>45</v>
      </c>
      <c r="F242" s="35" t="n">
        <v>1.0</v>
      </c>
      <c r="G242" s="34" t="s">
        <v>322</v>
      </c>
      <c r="H242" s="34" t="s">
        <v>45</v>
      </c>
      <c r="I242" s="35"/>
      <c r="J242" s="35"/>
      <c r="K242" s="37"/>
    </row>
    <row r="243">
      <c r="A243" s="35" t="s">
        <v>45</v>
      </c>
      <c r="B243" s="34" t="s">
        <v>45</v>
      </c>
      <c r="C243" s="35" t="s">
        <v>45</v>
      </c>
      <c r="D243" s="35" t="s">
        <v>45</v>
      </c>
      <c r="E243" s="34" t="s">
        <v>45</v>
      </c>
      <c r="F243" s="35" t="n">
        <v>2.0</v>
      </c>
      <c r="G243" s="34" t="s">
        <v>323</v>
      </c>
      <c r="H243" s="34" t="s">
        <v>45</v>
      </c>
      <c r="I243" s="35"/>
      <c r="J243" s="35"/>
      <c r="K243" s="37"/>
    </row>
    <row r="244">
      <c r="A244" s="35" t="s">
        <v>45</v>
      </c>
      <c r="B244" s="34" t="s">
        <v>45</v>
      </c>
      <c r="C244" s="35" t="s">
        <v>45</v>
      </c>
      <c r="D244" s="35" t="s">
        <v>45</v>
      </c>
      <c r="E244" s="34" t="s">
        <v>45</v>
      </c>
      <c r="F244" s="35" t="n">
        <v>3.0</v>
      </c>
      <c r="G244" s="34" t="s">
        <v>324</v>
      </c>
      <c r="H244" s="34" t="s">
        <v>45</v>
      </c>
      <c r="I244" s="35"/>
      <c r="J244" s="35"/>
      <c r="K244" s="37"/>
    </row>
    <row r="245">
      <c r="A245" s="35" t="s">
        <v>45</v>
      </c>
      <c r="B245" s="34" t="s">
        <v>45</v>
      </c>
      <c r="C245" s="35" t="s">
        <v>45</v>
      </c>
      <c r="D245" s="35" t="s">
        <v>47</v>
      </c>
      <c r="E245" s="34" t="s">
        <v>325</v>
      </c>
      <c r="F245" s="35" t="s">
        <v>45</v>
      </c>
      <c r="G245" s="34" t="s">
        <v>45</v>
      </c>
      <c r="H245" s="34" t="s">
        <v>45</v>
      </c>
      <c r="I245" s="35" t="n">
        <v>4.0</v>
      </c>
      <c r="J245" s="35"/>
      <c r="K245" s="37" t="n">
        <v>1.0</v>
      </c>
    </row>
    <row r="246">
      <c r="A246" s="35" t="s">
        <v>45</v>
      </c>
      <c r="B246" s="34" t="s">
        <v>45</v>
      </c>
      <c r="C246" s="35" t="s">
        <v>45</v>
      </c>
      <c r="D246" s="35" t="s">
        <v>45</v>
      </c>
      <c r="E246" s="34" t="s">
        <v>45</v>
      </c>
      <c r="F246" s="35" t="n">
        <v>0.0</v>
      </c>
      <c r="G246" s="34" t="s">
        <v>326</v>
      </c>
      <c r="H246" s="34" t="s">
        <v>45</v>
      </c>
      <c r="I246" s="35"/>
      <c r="J246" s="35"/>
      <c r="K246" s="37"/>
    </row>
    <row r="247">
      <c r="A247" s="35" t="s">
        <v>45</v>
      </c>
      <c r="B247" s="34" t="s">
        <v>45</v>
      </c>
      <c r="C247" s="35" t="s">
        <v>45</v>
      </c>
      <c r="D247" s="35" t="s">
        <v>45</v>
      </c>
      <c r="E247" s="34" t="s">
        <v>45</v>
      </c>
      <c r="F247" s="35" t="n">
        <v>1.0</v>
      </c>
      <c r="G247" s="34" t="s">
        <v>327</v>
      </c>
      <c r="H247" s="34" t="s">
        <v>45</v>
      </c>
      <c r="I247" s="35"/>
      <c r="J247" s="35"/>
      <c r="K247" s="37"/>
    </row>
    <row r="248">
      <c r="A248" s="35" t="s">
        <v>45</v>
      </c>
      <c r="B248" s="34" t="s">
        <v>45</v>
      </c>
      <c r="C248" s="35" t="s">
        <v>45</v>
      </c>
      <c r="D248" s="35" t="s">
        <v>45</v>
      </c>
      <c r="E248" s="34" t="s">
        <v>45</v>
      </c>
      <c r="F248" s="35" t="n">
        <v>2.0</v>
      </c>
      <c r="G248" s="34" t="s">
        <v>328</v>
      </c>
      <c r="H248" s="34" t="s">
        <v>45</v>
      </c>
      <c r="I248" s="35"/>
      <c r="J248" s="35"/>
      <c r="K248" s="37"/>
    </row>
    <row r="249">
      <c r="A249" s="35" t="s">
        <v>45</v>
      </c>
      <c r="B249" s="34" t="s">
        <v>45</v>
      </c>
      <c r="C249" s="35" t="s">
        <v>45</v>
      </c>
      <c r="D249" s="35" t="s">
        <v>45</v>
      </c>
      <c r="E249" s="34" t="s">
        <v>45</v>
      </c>
      <c r="F249" s="35" t="n">
        <v>3.0</v>
      </c>
      <c r="G249" s="34" t="s">
        <v>329</v>
      </c>
      <c r="H249" s="34" t="s">
        <v>45</v>
      </c>
      <c r="I249" s="35"/>
      <c r="J249" s="35"/>
      <c r="K249" s="37"/>
    </row>
    <row r="250">
      <c r="A250" s="35" t="s">
        <v>45</v>
      </c>
      <c r="B250" s="34" t="s">
        <v>45</v>
      </c>
      <c r="C250" s="35" t="s">
        <v>45</v>
      </c>
      <c r="D250" s="35" t="s">
        <v>47</v>
      </c>
      <c r="E250" s="34" t="s">
        <v>330</v>
      </c>
      <c r="F250" s="35" t="s">
        <v>45</v>
      </c>
      <c r="G250" s="34" t="s">
        <v>45</v>
      </c>
      <c r="H250" s="34" t="s">
        <v>45</v>
      </c>
      <c r="I250" s="35" t="n">
        <v>2.0</v>
      </c>
      <c r="J250" s="35"/>
      <c r="K250" s="37" t="n">
        <v>0.5</v>
      </c>
    </row>
    <row r="251">
      <c r="A251" s="35" t="s">
        <v>45</v>
      </c>
      <c r="B251" s="34" t="s">
        <v>45</v>
      </c>
      <c r="C251" s="35" t="s">
        <v>45</v>
      </c>
      <c r="D251" s="35" t="s">
        <v>45</v>
      </c>
      <c r="E251" s="34" t="s">
        <v>45</v>
      </c>
      <c r="F251" s="35" t="n">
        <v>0.0</v>
      </c>
      <c r="G251" s="34" t="s">
        <v>331</v>
      </c>
      <c r="H251" s="34" t="s">
        <v>45</v>
      </c>
      <c r="I251" s="35"/>
      <c r="J251" s="35"/>
      <c r="K251" s="37"/>
    </row>
    <row r="252">
      <c r="A252" s="35" t="s">
        <v>45</v>
      </c>
      <c r="B252" s="34" t="s">
        <v>45</v>
      </c>
      <c r="C252" s="35" t="s">
        <v>45</v>
      </c>
      <c r="D252" s="35" t="s">
        <v>45</v>
      </c>
      <c r="E252" s="34" t="s">
        <v>45</v>
      </c>
      <c r="F252" s="35" t="n">
        <v>1.0</v>
      </c>
      <c r="G252" s="34" t="s">
        <v>332</v>
      </c>
      <c r="H252" s="34" t="s">
        <v>45</v>
      </c>
      <c r="I252" s="35"/>
      <c r="J252" s="35"/>
      <c r="K252" s="37"/>
    </row>
    <row r="253">
      <c r="A253" s="35" t="s">
        <v>45</v>
      </c>
      <c r="B253" s="34" t="s">
        <v>45</v>
      </c>
      <c r="C253" s="35" t="s">
        <v>45</v>
      </c>
      <c r="D253" s="35" t="s">
        <v>45</v>
      </c>
      <c r="E253" s="34" t="s">
        <v>45</v>
      </c>
      <c r="F253" s="35" t="n">
        <v>2.0</v>
      </c>
      <c r="G253" s="34" t="s">
        <v>333</v>
      </c>
      <c r="H253" s="34" t="s">
        <v>45</v>
      </c>
      <c r="I253" s="35"/>
      <c r="J253" s="35"/>
      <c r="K253" s="37"/>
    </row>
    <row r="254">
      <c r="A254" s="35" t="s">
        <v>45</v>
      </c>
      <c r="B254" s="34" t="s">
        <v>45</v>
      </c>
      <c r="C254" s="35" t="s">
        <v>45</v>
      </c>
      <c r="D254" s="35" t="s">
        <v>45</v>
      </c>
      <c r="E254" s="34" t="s">
        <v>45</v>
      </c>
      <c r="F254" s="35" t="n">
        <v>3.0</v>
      </c>
      <c r="G254" s="34" t="s">
        <v>334</v>
      </c>
      <c r="H254" s="34" t="s">
        <v>45</v>
      </c>
      <c r="I254" s="35"/>
      <c r="J254" s="35"/>
      <c r="K254" s="37"/>
    </row>
    <row r="255">
      <c r="A255" s="35" t="s">
        <v>335</v>
      </c>
      <c r="B255" s="34" t="s">
        <v>336</v>
      </c>
      <c r="C255" s="35" t="s">
        <v>271</v>
      </c>
      <c r="D255" s="34" t="s">
        <v>45</v>
      </c>
      <c r="E255" s="34" t="s">
        <v>45</v>
      </c>
      <c r="F255" s="34" t="s">
        <v>45</v>
      </c>
      <c r="G255" s="34" t="s">
        <v>45</v>
      </c>
      <c r="H255" s="34" t="s">
        <v>45</v>
      </c>
      <c r="I255" s="34" t="s">
        <v>45</v>
      </c>
      <c r="J255" s="34" t="s">
        <v>45</v>
      </c>
      <c r="K255" s="34" t="s">
        <v>45</v>
      </c>
    </row>
    <row r="256">
      <c r="A256" s="35" t="s">
        <v>45</v>
      </c>
      <c r="B256" s="34" t="s">
        <v>45</v>
      </c>
      <c r="C256" s="35" t="s">
        <v>45</v>
      </c>
      <c r="D256" s="35" t="s">
        <v>47</v>
      </c>
      <c r="E256" s="34" t="s">
        <v>337</v>
      </c>
      <c r="F256" s="35" t="s">
        <v>45</v>
      </c>
      <c r="G256" s="34" t="s">
        <v>45</v>
      </c>
      <c r="H256" s="34" t="s">
        <v>45</v>
      </c>
      <c r="I256" s="35" t="n">
        <v>4.0</v>
      </c>
      <c r="J256" s="35"/>
      <c r="K256" s="37" t="n">
        <v>2.0</v>
      </c>
    </row>
    <row r="257">
      <c r="A257" s="35" t="s">
        <v>45</v>
      </c>
      <c r="B257" s="34" t="s">
        <v>45</v>
      </c>
      <c r="C257" s="35" t="s">
        <v>45</v>
      </c>
      <c r="D257" s="35" t="s">
        <v>45</v>
      </c>
      <c r="E257" s="34" t="s">
        <v>45</v>
      </c>
      <c r="F257" s="35" t="n">
        <v>0.0</v>
      </c>
      <c r="G257" s="34" t="s">
        <v>338</v>
      </c>
      <c r="H257" s="34" t="s">
        <v>45</v>
      </c>
      <c r="I257" s="35"/>
      <c r="J257" s="35"/>
      <c r="K257" s="37"/>
    </row>
    <row r="258">
      <c r="A258" s="35" t="s">
        <v>45</v>
      </c>
      <c r="B258" s="34" t="s">
        <v>45</v>
      </c>
      <c r="C258" s="35" t="s">
        <v>45</v>
      </c>
      <c r="D258" s="35" t="s">
        <v>45</v>
      </c>
      <c r="E258" s="34" t="s">
        <v>45</v>
      </c>
      <c r="F258" s="35" t="n">
        <v>1.0</v>
      </c>
      <c r="G258" s="34" t="s">
        <v>339</v>
      </c>
      <c r="H258" s="34" t="s">
        <v>45</v>
      </c>
      <c r="I258" s="35"/>
      <c r="J258" s="35"/>
      <c r="K258" s="37"/>
    </row>
    <row r="259">
      <c r="A259" s="35" t="s">
        <v>45</v>
      </c>
      <c r="B259" s="34" t="s">
        <v>45</v>
      </c>
      <c r="C259" s="35" t="s">
        <v>45</v>
      </c>
      <c r="D259" s="35" t="s">
        <v>45</v>
      </c>
      <c r="E259" s="34" t="s">
        <v>45</v>
      </c>
      <c r="F259" s="35" t="n">
        <v>2.0</v>
      </c>
      <c r="G259" s="34" t="s">
        <v>340</v>
      </c>
      <c r="H259" s="34" t="s">
        <v>45</v>
      </c>
      <c r="I259" s="35"/>
      <c r="J259" s="35"/>
      <c r="K259" s="37"/>
    </row>
    <row r="260">
      <c r="A260" s="35" t="s">
        <v>45</v>
      </c>
      <c r="B260" s="34" t="s">
        <v>45</v>
      </c>
      <c r="C260" s="35" t="s">
        <v>45</v>
      </c>
      <c r="D260" s="35" t="s">
        <v>45</v>
      </c>
      <c r="E260" s="34" t="s">
        <v>45</v>
      </c>
      <c r="F260" s="35" t="n">
        <v>3.0</v>
      </c>
      <c r="G260" s="34" t="s">
        <v>341</v>
      </c>
      <c r="H260" s="34" t="s">
        <v>45</v>
      </c>
      <c r="I260" s="35"/>
      <c r="J260" s="35"/>
      <c r="K260" s="37"/>
    </row>
    <row r="261">
      <c r="A261" s="35" t="s">
        <v>45</v>
      </c>
      <c r="B261" s="34" t="s">
        <v>45</v>
      </c>
      <c r="C261" s="35" t="s">
        <v>45</v>
      </c>
      <c r="D261" s="35" t="s">
        <v>47</v>
      </c>
      <c r="E261" s="34" t="s">
        <v>342</v>
      </c>
      <c r="F261" s="35" t="s">
        <v>45</v>
      </c>
      <c r="G261" s="34" t="s">
        <v>45</v>
      </c>
      <c r="H261" s="34" t="s">
        <v>45</v>
      </c>
      <c r="I261" s="35" t="n">
        <v>4.0</v>
      </c>
      <c r="J261" s="35"/>
      <c r="K261" s="37" t="n">
        <v>2.0</v>
      </c>
    </row>
    <row r="262">
      <c r="A262" s="35" t="s">
        <v>45</v>
      </c>
      <c r="B262" s="34" t="s">
        <v>45</v>
      </c>
      <c r="C262" s="35" t="s">
        <v>45</v>
      </c>
      <c r="D262" s="35" t="s">
        <v>45</v>
      </c>
      <c r="E262" s="34" t="s">
        <v>45</v>
      </c>
      <c r="F262" s="35" t="n">
        <v>0.0</v>
      </c>
      <c r="G262" s="34" t="s">
        <v>343</v>
      </c>
      <c r="H262" s="34" t="s">
        <v>45</v>
      </c>
      <c r="I262" s="35"/>
      <c r="J262" s="35"/>
      <c r="K262" s="37"/>
    </row>
    <row r="263">
      <c r="A263" s="35" t="s">
        <v>45</v>
      </c>
      <c r="B263" s="34" t="s">
        <v>45</v>
      </c>
      <c r="C263" s="35" t="s">
        <v>45</v>
      </c>
      <c r="D263" s="35" t="s">
        <v>45</v>
      </c>
      <c r="E263" s="34" t="s">
        <v>45</v>
      </c>
      <c r="F263" s="35" t="n">
        <v>1.0</v>
      </c>
      <c r="G263" s="34" t="s">
        <v>344</v>
      </c>
      <c r="H263" s="34" t="s">
        <v>45</v>
      </c>
      <c r="I263" s="35"/>
      <c r="J263" s="35"/>
      <c r="K263" s="37"/>
    </row>
    <row r="264">
      <c r="A264" s="35" t="s">
        <v>45</v>
      </c>
      <c r="B264" s="34" t="s">
        <v>45</v>
      </c>
      <c r="C264" s="35" t="s">
        <v>45</v>
      </c>
      <c r="D264" s="35" t="s">
        <v>45</v>
      </c>
      <c r="E264" s="34" t="s">
        <v>45</v>
      </c>
      <c r="F264" s="35" t="n">
        <v>2.0</v>
      </c>
      <c r="G264" s="34" t="s">
        <v>345</v>
      </c>
      <c r="H264" s="34" t="s">
        <v>45</v>
      </c>
      <c r="I264" s="35"/>
      <c r="J264" s="35"/>
      <c r="K264" s="37"/>
    </row>
    <row r="265">
      <c r="A265" s="35" t="s">
        <v>45</v>
      </c>
      <c r="B265" s="34" t="s">
        <v>45</v>
      </c>
      <c r="C265" s="35" t="s">
        <v>45</v>
      </c>
      <c r="D265" s="35" t="s">
        <v>45</v>
      </c>
      <c r="E265" s="34" t="s">
        <v>45</v>
      </c>
      <c r="F265" s="35" t="n">
        <v>3.0</v>
      </c>
      <c r="G265" s="34" t="s">
        <v>346</v>
      </c>
      <c r="H265" s="34" t="s">
        <v>45</v>
      </c>
      <c r="I265" s="35"/>
      <c r="J265" s="35"/>
      <c r="K265" s="37"/>
    </row>
    <row r="266">
      <c r="A266" s="35" t="s">
        <v>45</v>
      </c>
      <c r="B266" s="34" t="s">
        <v>45</v>
      </c>
      <c r="C266" s="35" t="s">
        <v>45</v>
      </c>
      <c r="D266" s="35" t="s">
        <v>47</v>
      </c>
      <c r="E266" s="34" t="s">
        <v>347</v>
      </c>
      <c r="F266" s="35" t="s">
        <v>45</v>
      </c>
      <c r="G266" s="34" t="s">
        <v>45</v>
      </c>
      <c r="H266" s="34" t="s">
        <v>45</v>
      </c>
      <c r="I266" s="35" t="n">
        <v>2.0</v>
      </c>
      <c r="J266" s="35"/>
      <c r="K266" s="37" t="n">
        <v>1.0</v>
      </c>
    </row>
    <row r="267">
      <c r="A267" s="35" t="s">
        <v>45</v>
      </c>
      <c r="B267" s="34" t="s">
        <v>45</v>
      </c>
      <c r="C267" s="35" t="s">
        <v>45</v>
      </c>
      <c r="D267" s="35" t="s">
        <v>45</v>
      </c>
      <c r="E267" s="34" t="s">
        <v>45</v>
      </c>
      <c r="F267" s="35" t="n">
        <v>0.0</v>
      </c>
      <c r="G267" s="34" t="s">
        <v>348</v>
      </c>
      <c r="H267" s="34" t="s">
        <v>45</v>
      </c>
      <c r="I267" s="35"/>
      <c r="J267" s="35"/>
      <c r="K267" s="37"/>
    </row>
    <row r="268">
      <c r="A268" s="35" t="s">
        <v>45</v>
      </c>
      <c r="B268" s="34" t="s">
        <v>45</v>
      </c>
      <c r="C268" s="35" t="s">
        <v>45</v>
      </c>
      <c r="D268" s="35" t="s">
        <v>45</v>
      </c>
      <c r="E268" s="34" t="s">
        <v>45</v>
      </c>
      <c r="F268" s="35" t="n">
        <v>1.0</v>
      </c>
      <c r="G268" s="34" t="s">
        <v>349</v>
      </c>
      <c r="H268" s="34" t="s">
        <v>45</v>
      </c>
      <c r="I268" s="35"/>
      <c r="J268" s="35"/>
      <c r="K268" s="37"/>
    </row>
    <row r="269">
      <c r="A269" s="35" t="s">
        <v>45</v>
      </c>
      <c r="B269" s="34" t="s">
        <v>45</v>
      </c>
      <c r="C269" s="35" t="s">
        <v>45</v>
      </c>
      <c r="D269" s="35" t="s">
        <v>45</v>
      </c>
      <c r="E269" s="34" t="s">
        <v>45</v>
      </c>
      <c r="F269" s="35" t="n">
        <v>2.0</v>
      </c>
      <c r="G269" s="34" t="s">
        <v>350</v>
      </c>
      <c r="H269" s="34" t="s">
        <v>45</v>
      </c>
      <c r="I269" s="35"/>
      <c r="J269" s="35"/>
      <c r="K269" s="37"/>
    </row>
    <row r="270">
      <c r="A270" s="35" t="s">
        <v>45</v>
      </c>
      <c r="B270" s="34" t="s">
        <v>45</v>
      </c>
      <c r="C270" s="35" t="s">
        <v>45</v>
      </c>
      <c r="D270" s="35" t="s">
        <v>45</v>
      </c>
      <c r="E270" s="34" t="s">
        <v>45</v>
      </c>
      <c r="F270" s="35" t="n">
        <v>3.0</v>
      </c>
      <c r="G270" s="34" t="s">
        <v>351</v>
      </c>
      <c r="H270" s="34" t="s">
        <v>45</v>
      </c>
      <c r="I270" s="35"/>
      <c r="J270" s="35"/>
      <c r="K270" s="37"/>
    </row>
    <row r="271">
      <c r="A271" s="35" t="s">
        <v>45</v>
      </c>
      <c r="B271" s="34" t="s">
        <v>45</v>
      </c>
      <c r="C271" s="35" t="s">
        <v>45</v>
      </c>
      <c r="D271" s="35" t="s">
        <v>47</v>
      </c>
      <c r="E271" s="34" t="s">
        <v>352</v>
      </c>
      <c r="F271" s="35" t="s">
        <v>45</v>
      </c>
      <c r="G271" s="34" t="s">
        <v>45</v>
      </c>
      <c r="H271" s="34" t="s">
        <v>45</v>
      </c>
      <c r="I271" s="35" t="n">
        <v>1.0</v>
      </c>
      <c r="J271" s="35"/>
      <c r="K271" s="37" t="n">
        <v>0.75</v>
      </c>
    </row>
    <row r="272">
      <c r="A272" s="35" t="s">
        <v>45</v>
      </c>
      <c r="B272" s="34" t="s">
        <v>45</v>
      </c>
      <c r="C272" s="35" t="s">
        <v>45</v>
      </c>
      <c r="D272" s="35" t="s">
        <v>45</v>
      </c>
      <c r="E272" s="34" t="s">
        <v>45</v>
      </c>
      <c r="F272" s="35" t="n">
        <v>0.0</v>
      </c>
      <c r="G272" s="34" t="s">
        <v>100</v>
      </c>
      <c r="H272" s="34" t="s">
        <v>45</v>
      </c>
      <c r="I272" s="35"/>
      <c r="J272" s="35"/>
      <c r="K272" s="37"/>
    </row>
    <row r="273">
      <c r="A273" s="35" t="s">
        <v>45</v>
      </c>
      <c r="B273" s="34" t="s">
        <v>45</v>
      </c>
      <c r="C273" s="35" t="s">
        <v>45</v>
      </c>
      <c r="D273" s="35" t="s">
        <v>45</v>
      </c>
      <c r="E273" s="34" t="s">
        <v>45</v>
      </c>
      <c r="F273" s="35" t="n">
        <v>1.0</v>
      </c>
      <c r="G273" s="34" t="s">
        <v>101</v>
      </c>
      <c r="H273" s="34" t="s">
        <v>45</v>
      </c>
      <c r="I273" s="35"/>
      <c r="J273" s="35"/>
      <c r="K273" s="37"/>
    </row>
    <row r="274">
      <c r="A274" s="35" t="s">
        <v>45</v>
      </c>
      <c r="B274" s="34" t="s">
        <v>45</v>
      </c>
      <c r="C274" s="35" t="s">
        <v>45</v>
      </c>
      <c r="D274" s="35" t="s">
        <v>45</v>
      </c>
      <c r="E274" s="34" t="s">
        <v>45</v>
      </c>
      <c r="F274" s="35" t="n">
        <v>2.0</v>
      </c>
      <c r="G274" s="34" t="s">
        <v>262</v>
      </c>
      <c r="H274" s="34" t="s">
        <v>45</v>
      </c>
      <c r="I274" s="35"/>
      <c r="J274" s="35"/>
      <c r="K274" s="37"/>
    </row>
    <row r="275">
      <c r="A275" s="35" t="s">
        <v>45</v>
      </c>
      <c r="B275" s="34" t="s">
        <v>45</v>
      </c>
      <c r="C275" s="35" t="s">
        <v>45</v>
      </c>
      <c r="D275" s="35" t="s">
        <v>45</v>
      </c>
      <c r="E275" s="34" t="s">
        <v>45</v>
      </c>
      <c r="F275" s="35" t="n">
        <v>3.0</v>
      </c>
      <c r="G275" s="34" t="s">
        <v>103</v>
      </c>
      <c r="H275" s="34" t="s">
        <v>45</v>
      </c>
      <c r="I275" s="35"/>
      <c r="J275" s="35"/>
      <c r="K275" s="37"/>
    </row>
    <row r="276">
      <c r="A276" s="35" t="s">
        <v>45</v>
      </c>
      <c r="B276" s="34" t="s">
        <v>45</v>
      </c>
      <c r="C276" s="35" t="s">
        <v>45</v>
      </c>
      <c r="D276" s="35" t="s">
        <v>47</v>
      </c>
      <c r="E276" s="34" t="s">
        <v>353</v>
      </c>
      <c r="F276" s="35" t="s">
        <v>45</v>
      </c>
      <c r="G276" s="34" t="s">
        <v>45</v>
      </c>
      <c r="H276" s="34" t="s">
        <v>45</v>
      </c>
      <c r="I276" s="35" t="n">
        <v>3.0</v>
      </c>
      <c r="J276" s="35"/>
      <c r="K276" s="37" t="n">
        <v>1.25</v>
      </c>
    </row>
    <row r="277">
      <c r="A277" s="35" t="s">
        <v>45</v>
      </c>
      <c r="B277" s="34" t="s">
        <v>45</v>
      </c>
      <c r="C277" s="35" t="s">
        <v>45</v>
      </c>
      <c r="D277" s="35" t="s">
        <v>45</v>
      </c>
      <c r="E277" s="34" t="s">
        <v>45</v>
      </c>
      <c r="F277" s="35" t="n">
        <v>0.0</v>
      </c>
      <c r="G277" s="34" t="s">
        <v>354</v>
      </c>
      <c r="H277" s="34" t="s">
        <v>45</v>
      </c>
      <c r="I277" s="35"/>
      <c r="J277" s="35"/>
      <c r="K277" s="37"/>
    </row>
    <row r="278">
      <c r="A278" s="35" t="s">
        <v>45</v>
      </c>
      <c r="B278" s="34" t="s">
        <v>45</v>
      </c>
      <c r="C278" s="35" t="s">
        <v>45</v>
      </c>
      <c r="D278" s="35" t="s">
        <v>45</v>
      </c>
      <c r="E278" s="34" t="s">
        <v>45</v>
      </c>
      <c r="F278" s="35" t="n">
        <v>1.0</v>
      </c>
      <c r="G278" s="34" t="s">
        <v>355</v>
      </c>
      <c r="H278" s="34" t="s">
        <v>45</v>
      </c>
      <c r="I278" s="35"/>
      <c r="J278" s="35"/>
      <c r="K278" s="37"/>
    </row>
    <row r="279">
      <c r="A279" s="35" t="s">
        <v>45</v>
      </c>
      <c r="B279" s="34" t="s">
        <v>45</v>
      </c>
      <c r="C279" s="35" t="s">
        <v>45</v>
      </c>
      <c r="D279" s="35" t="s">
        <v>45</v>
      </c>
      <c r="E279" s="34" t="s">
        <v>45</v>
      </c>
      <c r="F279" s="35" t="n">
        <v>2.0</v>
      </c>
      <c r="G279" s="34" t="s">
        <v>356</v>
      </c>
      <c r="H279" s="34" t="s">
        <v>45</v>
      </c>
      <c r="I279" s="35"/>
      <c r="J279" s="35"/>
      <c r="K279" s="37"/>
    </row>
    <row r="280">
      <c r="A280" s="35" t="s">
        <v>45</v>
      </c>
      <c r="B280" s="34" t="s">
        <v>45</v>
      </c>
      <c r="C280" s="35" t="s">
        <v>45</v>
      </c>
      <c r="D280" s="35" t="s">
        <v>45</v>
      </c>
      <c r="E280" s="34" t="s">
        <v>45</v>
      </c>
      <c r="F280" s="35" t="n">
        <v>3.0</v>
      </c>
      <c r="G280" s="34" t="s">
        <v>357</v>
      </c>
      <c r="H280" s="34" t="s">
        <v>45</v>
      </c>
      <c r="I280" s="35"/>
      <c r="J280" s="35"/>
      <c r="K280" s="37"/>
    </row>
    <row r="281">
      <c r="A281" s="35" t="s">
        <v>358</v>
      </c>
      <c r="B281" s="34" t="s">
        <v>359</v>
      </c>
      <c r="C281" s="35" t="s">
        <v>271</v>
      </c>
      <c r="D281" s="34" t="s">
        <v>45</v>
      </c>
      <c r="E281" s="34" t="s">
        <v>45</v>
      </c>
      <c r="F281" s="34" t="s">
        <v>45</v>
      </c>
      <c r="G281" s="34" t="s">
        <v>45</v>
      </c>
      <c r="H281" s="34" t="s">
        <v>45</v>
      </c>
      <c r="I281" s="34" t="s">
        <v>45</v>
      </c>
      <c r="J281" s="34" t="s">
        <v>45</v>
      </c>
      <c r="K281" s="34" t="s">
        <v>45</v>
      </c>
    </row>
    <row r="282">
      <c r="A282" s="35" t="s">
        <v>45</v>
      </c>
      <c r="B282" s="34" t="s">
        <v>45</v>
      </c>
      <c r="C282" s="35" t="s">
        <v>45</v>
      </c>
      <c r="D282" s="35" t="s">
        <v>83</v>
      </c>
      <c r="E282" s="34" t="s">
        <v>360</v>
      </c>
      <c r="F282" s="35" t="s">
        <v>45</v>
      </c>
      <c r="G282" s="34" t="s">
        <v>361</v>
      </c>
      <c r="H282" s="34" t="s">
        <v>45</v>
      </c>
      <c r="I282" s="35" t="n">
        <v>1.0</v>
      </c>
      <c r="J282" s="35"/>
      <c r="K282" s="37" t="n">
        <v>0.25</v>
      </c>
    </row>
    <row r="283">
      <c r="A283" s="35" t="s">
        <v>45</v>
      </c>
      <c r="B283" s="34" t="s">
        <v>45</v>
      </c>
      <c r="C283" s="35" t="s">
        <v>45</v>
      </c>
      <c r="D283" s="35" t="s">
        <v>83</v>
      </c>
      <c r="E283" s="34" t="s">
        <v>362</v>
      </c>
      <c r="F283" s="35" t="s">
        <v>45</v>
      </c>
      <c r="G283" s="34" t="s">
        <v>363</v>
      </c>
      <c r="H283" s="34" t="s">
        <v>45</v>
      </c>
      <c r="I283" s="35" t="n">
        <v>3.0</v>
      </c>
      <c r="J283" s="35"/>
      <c r="K283" s="37" t="n">
        <v>0.5</v>
      </c>
    </row>
    <row r="284">
      <c r="A284" s="35" t="s">
        <v>45</v>
      </c>
      <c r="B284" s="34" t="s">
        <v>45</v>
      </c>
      <c r="C284" s="35" t="s">
        <v>45</v>
      </c>
      <c r="D284" s="35" t="s">
        <v>83</v>
      </c>
      <c r="E284" s="34" t="s">
        <v>364</v>
      </c>
      <c r="F284" s="35" t="s">
        <v>45</v>
      </c>
      <c r="G284" s="34" t="s">
        <v>365</v>
      </c>
      <c r="H284" s="34" t="s">
        <v>45</v>
      </c>
      <c r="I284" s="35" t="n">
        <v>5.0</v>
      </c>
      <c r="J284" s="35"/>
      <c r="K284" s="37" t="n">
        <v>0.5</v>
      </c>
    </row>
    <row r="285">
      <c r="A285" s="35" t="s">
        <v>45</v>
      </c>
      <c r="B285" s="34" t="s">
        <v>45</v>
      </c>
      <c r="C285" s="35" t="s">
        <v>45</v>
      </c>
      <c r="D285" s="35" t="s">
        <v>83</v>
      </c>
      <c r="E285" s="34" t="s">
        <v>366</v>
      </c>
      <c r="F285" s="35" t="s">
        <v>45</v>
      </c>
      <c r="G285" s="34" t="s">
        <v>367</v>
      </c>
      <c r="H285" s="34" t="s">
        <v>45</v>
      </c>
      <c r="I285" s="35" t="n">
        <v>5.0</v>
      </c>
      <c r="J285" s="35"/>
      <c r="K285" s="37" t="n">
        <v>0.5</v>
      </c>
    </row>
    <row r="286">
      <c r="A286" s="35" t="s">
        <v>45</v>
      </c>
      <c r="B286" s="34" t="s">
        <v>45</v>
      </c>
      <c r="C286" s="35" t="s">
        <v>45</v>
      </c>
      <c r="D286" s="35" t="s">
        <v>83</v>
      </c>
      <c r="E286" s="34" t="s">
        <v>368</v>
      </c>
      <c r="F286" s="35" t="s">
        <v>45</v>
      </c>
      <c r="G286" s="34" t="s">
        <v>369</v>
      </c>
      <c r="H286" s="34" t="s">
        <v>45</v>
      </c>
      <c r="I286" s="35" t="n">
        <v>1.0</v>
      </c>
      <c r="J286" s="35"/>
      <c r="K286" s="37" t="n">
        <v>0.25</v>
      </c>
    </row>
    <row r="287">
      <c r="A287" s="35" t="s">
        <v>45</v>
      </c>
      <c r="B287" s="34" t="s">
        <v>45</v>
      </c>
      <c r="C287" s="35" t="s">
        <v>45</v>
      </c>
      <c r="D287" s="35" t="s">
        <v>83</v>
      </c>
      <c r="E287" s="34" t="s">
        <v>370</v>
      </c>
      <c r="F287" s="35" t="s">
        <v>45</v>
      </c>
      <c r="G287" s="34" t="s">
        <v>371</v>
      </c>
      <c r="H287" s="34" t="s">
        <v>45</v>
      </c>
      <c r="I287" s="35" t="n">
        <v>5.0</v>
      </c>
      <c r="J287" s="35"/>
      <c r="K287" s="37" t="n">
        <v>0.5</v>
      </c>
    </row>
    <row r="288">
      <c r="A288" s="35" t="s">
        <v>45</v>
      </c>
      <c r="B288" s="34" t="s">
        <v>45</v>
      </c>
      <c r="C288" s="35" t="s">
        <v>45</v>
      </c>
      <c r="D288" s="35" t="s">
        <v>83</v>
      </c>
      <c r="E288" s="34" t="s">
        <v>186</v>
      </c>
      <c r="F288" s="35" t="s">
        <v>45</v>
      </c>
      <c r="G288" s="34" t="s">
        <v>176</v>
      </c>
      <c r="H288" s="34" t="s">
        <v>45</v>
      </c>
      <c r="I288" s="35" t="n">
        <v>5.0</v>
      </c>
      <c r="J288" s="35"/>
      <c r="K288" s="37" t="n">
        <v>0.25</v>
      </c>
    </row>
    <row r="289">
      <c r="A289" s="35" t="s">
        <v>45</v>
      </c>
      <c r="B289" s="34" t="s">
        <v>45</v>
      </c>
      <c r="C289" s="35" t="s">
        <v>45</v>
      </c>
      <c r="D289" s="35" t="s">
        <v>83</v>
      </c>
      <c r="E289" s="34" t="s">
        <v>372</v>
      </c>
      <c r="F289" s="35" t="s">
        <v>45</v>
      </c>
      <c r="G289" s="34" t="s">
        <v>373</v>
      </c>
      <c r="H289" s="34" t="s">
        <v>45</v>
      </c>
      <c r="I289" s="35" t="n">
        <v>1.0</v>
      </c>
      <c r="J289" s="35"/>
      <c r="K289" s="37" t="n">
        <v>0.25</v>
      </c>
    </row>
    <row r="290">
      <c r="A290" s="35" t="s">
        <v>374</v>
      </c>
      <c r="B290" s="34" t="s">
        <v>375</v>
      </c>
      <c r="C290" s="35" t="s">
        <v>271</v>
      </c>
      <c r="D290" s="34" t="s">
        <v>45</v>
      </c>
      <c r="E290" s="34" t="s">
        <v>45</v>
      </c>
      <c r="F290" s="34" t="s">
        <v>45</v>
      </c>
      <c r="G290" s="34" t="s">
        <v>45</v>
      </c>
      <c r="H290" s="34" t="s">
        <v>45</v>
      </c>
      <c r="I290" s="34" t="s">
        <v>45</v>
      </c>
      <c r="J290" s="34" t="s">
        <v>45</v>
      </c>
      <c r="K290" s="34" t="s">
        <v>45</v>
      </c>
    </row>
    <row r="291">
      <c r="A291" s="35" t="s">
        <v>45</v>
      </c>
      <c r="B291" s="34" t="s">
        <v>45</v>
      </c>
      <c r="C291" s="35" t="s">
        <v>45</v>
      </c>
      <c r="D291" s="35" t="s">
        <v>83</v>
      </c>
      <c r="E291" s="34" t="s">
        <v>376</v>
      </c>
      <c r="F291" s="35" t="s">
        <v>45</v>
      </c>
      <c r="G291" s="34" t="s">
        <v>377</v>
      </c>
      <c r="H291" s="34" t="s">
        <v>45</v>
      </c>
      <c r="I291" s="35" t="n">
        <v>5.0</v>
      </c>
      <c r="J291" s="35"/>
      <c r="K291" s="37" t="n">
        <v>0.75</v>
      </c>
    </row>
    <row r="292">
      <c r="A292" s="35" t="s">
        <v>45</v>
      </c>
      <c r="B292" s="34" t="s">
        <v>45</v>
      </c>
      <c r="C292" s="35" t="s">
        <v>45</v>
      </c>
      <c r="D292" s="35" t="s">
        <v>83</v>
      </c>
      <c r="E292" s="34" t="s">
        <v>378</v>
      </c>
      <c r="F292" s="35" t="s">
        <v>45</v>
      </c>
      <c r="G292" s="34" t="s">
        <v>379</v>
      </c>
      <c r="H292" s="34" t="s">
        <v>45</v>
      </c>
      <c r="I292" s="35" t="n">
        <v>3.0</v>
      </c>
      <c r="J292" s="35"/>
      <c r="K292" s="37" t="n">
        <v>1.0</v>
      </c>
    </row>
    <row r="293">
      <c r="A293" s="35" t="s">
        <v>45</v>
      </c>
      <c r="B293" s="34" t="s">
        <v>45</v>
      </c>
      <c r="C293" s="35" t="s">
        <v>45</v>
      </c>
      <c r="D293" s="35" t="s">
        <v>83</v>
      </c>
      <c r="E293" s="34" t="s">
        <v>380</v>
      </c>
      <c r="F293" s="35" t="s">
        <v>45</v>
      </c>
      <c r="G293" s="34" t="s">
        <v>45</v>
      </c>
      <c r="H293" s="34" t="s">
        <v>45</v>
      </c>
      <c r="I293" s="35" t="n">
        <v>5.0</v>
      </c>
      <c r="J293" s="35"/>
      <c r="K293" s="37" t="n">
        <v>1.5</v>
      </c>
    </row>
    <row r="294">
      <c r="A294" s="35" t="s">
        <v>45</v>
      </c>
      <c r="B294" s="34" t="s">
        <v>45</v>
      </c>
      <c r="C294" s="35" t="s">
        <v>45</v>
      </c>
      <c r="D294" s="35" t="s">
        <v>83</v>
      </c>
      <c r="E294" s="34" t="s">
        <v>381</v>
      </c>
      <c r="F294" s="35" t="s">
        <v>45</v>
      </c>
      <c r="G294" s="34" t="s">
        <v>382</v>
      </c>
      <c r="H294" s="34" t="s">
        <v>45</v>
      </c>
      <c r="I294" s="35" t="n">
        <v>5.0</v>
      </c>
      <c r="J294" s="35"/>
      <c r="K294" s="37" t="n">
        <v>0.5</v>
      </c>
    </row>
    <row r="295">
      <c r="A295" s="35" t="s">
        <v>45</v>
      </c>
      <c r="B295" s="34" t="s">
        <v>45</v>
      </c>
      <c r="C295" s="35" t="s">
        <v>45</v>
      </c>
      <c r="D295" s="35" t="s">
        <v>83</v>
      </c>
      <c r="E295" s="34" t="s">
        <v>383</v>
      </c>
      <c r="F295" s="35" t="s">
        <v>45</v>
      </c>
      <c r="G295" s="34" t="s">
        <v>384</v>
      </c>
      <c r="H295" s="34" t="s">
        <v>45</v>
      </c>
      <c r="I295" s="35" t="n">
        <v>5.0</v>
      </c>
      <c r="J295" s="35"/>
      <c r="K295" s="37" t="n">
        <v>0.5</v>
      </c>
    </row>
    <row r="296">
      <c r="A296" s="35" t="s">
        <v>45</v>
      </c>
      <c r="B296" s="34" t="s">
        <v>45</v>
      </c>
      <c r="C296" s="35" t="s">
        <v>45</v>
      </c>
      <c r="D296" s="35" t="s">
        <v>83</v>
      </c>
      <c r="E296" s="34" t="s">
        <v>385</v>
      </c>
      <c r="F296" s="35" t="s">
        <v>45</v>
      </c>
      <c r="G296" s="34" t="s">
        <v>386</v>
      </c>
      <c r="H296" s="34" t="s">
        <v>45</v>
      </c>
      <c r="I296" s="35" t="n">
        <v>2.0</v>
      </c>
      <c r="J296" s="35"/>
      <c r="K296" s="37" t="n">
        <v>0.25</v>
      </c>
    </row>
    <row r="297">
      <c r="A297" s="35" t="s">
        <v>45</v>
      </c>
      <c r="B297" s="34" t="s">
        <v>45</v>
      </c>
      <c r="C297" s="35" t="s">
        <v>45</v>
      </c>
      <c r="D297" s="35" t="s">
        <v>83</v>
      </c>
      <c r="E297" s="34" t="s">
        <v>387</v>
      </c>
      <c r="F297" s="35" t="s">
        <v>45</v>
      </c>
      <c r="G297" s="34" t="s">
        <v>176</v>
      </c>
      <c r="H297" s="34" t="s">
        <v>45</v>
      </c>
      <c r="I297" s="35" t="n">
        <v>5.0</v>
      </c>
      <c r="J297" s="35"/>
      <c r="K297" s="37" t="n">
        <v>0.25</v>
      </c>
    </row>
    <row r="298">
      <c r="A298" s="35" t="s">
        <v>45</v>
      </c>
      <c r="B298" s="34" t="s">
        <v>45</v>
      </c>
      <c r="C298" s="35" t="s">
        <v>45</v>
      </c>
      <c r="D298" s="35" t="s">
        <v>45</v>
      </c>
      <c r="E298" s="34" t="s">
        <v>45</v>
      </c>
      <c r="F298" s="35" t="s">
        <v>45</v>
      </c>
      <c r="G298" s="34" t="s">
        <v>45</v>
      </c>
      <c r="H298" s="34" t="s">
        <v>45</v>
      </c>
      <c r="I298" s="35"/>
      <c r="J298" s="35"/>
      <c r="K298" s="37"/>
    </row>
    <row r="299">
      <c r="A299" s="35" t="s">
        <v>45</v>
      </c>
      <c r="B299" s="34" t="s">
        <v>45</v>
      </c>
      <c r="C299" s="35" t="s">
        <v>45</v>
      </c>
      <c r="D299" s="35" t="s">
        <v>45</v>
      </c>
      <c r="E299" s="34" t="s">
        <v>45</v>
      </c>
      <c r="F299" s="35" t="s">
        <v>45</v>
      </c>
      <c r="G299" s="34" t="s">
        <v>45</v>
      </c>
      <c r="H299" s="34" t="s">
        <v>45</v>
      </c>
      <c r="I299" s="35"/>
      <c r="J299" s="35"/>
      <c r="K299" s="37"/>
    </row>
    <row r="300">
      <c r="A300" s="72" t="s">
        <v>15</v>
      </c>
      <c r="B300" s="73" t="s">
        <v>16</v>
      </c>
      <c r="C300" s="74" t="s">
        <v>10</v>
      </c>
      <c r="D300" s="75" t="s">
        <v>6</v>
      </c>
      <c r="E300" s="76" t="s">
        <v>1</v>
      </c>
      <c r="F300" s="77" t="s">
        <v>2</v>
      </c>
      <c r="G300" s="78" t="s">
        <v>8</v>
      </c>
      <c r="H300" s="79" t="s">
        <v>9</v>
      </c>
      <c r="I300" s="80" t="s">
        <v>23</v>
      </c>
      <c r="J300" s="81" t="s">
        <v>11</v>
      </c>
      <c r="K300" s="82" t="s">
        <v>3</v>
      </c>
      <c r="L300" s="83" t="s">
        <v>388</v>
      </c>
      <c r="M300" s="84" t="s">
        <v>4</v>
      </c>
      <c r="N300" s="85">
        <f>SUM(K301:K390)</f>
      </c>
    </row>
    <row r="301">
      <c r="A301" s="35" t="s">
        <v>389</v>
      </c>
      <c r="B301" s="34" t="s">
        <v>390</v>
      </c>
      <c r="C301" s="35" t="s">
        <v>391</v>
      </c>
      <c r="D301" s="34" t="s">
        <v>45</v>
      </c>
      <c r="E301" s="34" t="s">
        <v>45</v>
      </c>
      <c r="F301" s="34" t="s">
        <v>45</v>
      </c>
      <c r="G301" s="34" t="s">
        <v>45</v>
      </c>
      <c r="H301" s="34" t="s">
        <v>45</v>
      </c>
      <c r="I301" s="34" t="s">
        <v>45</v>
      </c>
      <c r="J301" s="34" t="s">
        <v>45</v>
      </c>
      <c r="K301" s="34" t="s">
        <v>45</v>
      </c>
    </row>
    <row r="302">
      <c r="A302" s="35" t="s">
        <v>45</v>
      </c>
      <c r="B302" s="34" t="s">
        <v>45</v>
      </c>
      <c r="C302" s="35" t="s">
        <v>45</v>
      </c>
      <c r="D302" s="35" t="s">
        <v>47</v>
      </c>
      <c r="E302" s="34" t="s">
        <v>392</v>
      </c>
      <c r="F302" s="35" t="s">
        <v>45</v>
      </c>
      <c r="G302" s="34" t="s">
        <v>45</v>
      </c>
      <c r="H302" s="34" t="s">
        <v>45</v>
      </c>
      <c r="I302" s="35" t="n">
        <v>4.0</v>
      </c>
      <c r="J302" s="35"/>
      <c r="K302" s="37" t="n">
        <v>2.0</v>
      </c>
    </row>
    <row r="303">
      <c r="A303" s="35" t="s">
        <v>45</v>
      </c>
      <c r="B303" s="34" t="s">
        <v>45</v>
      </c>
      <c r="C303" s="35" t="s">
        <v>45</v>
      </c>
      <c r="D303" s="35" t="s">
        <v>45</v>
      </c>
      <c r="E303" s="34" t="s">
        <v>45</v>
      </c>
      <c r="F303" s="35" t="n">
        <v>0.0</v>
      </c>
      <c r="G303" s="34" t="s">
        <v>393</v>
      </c>
      <c r="H303" s="34" t="s">
        <v>45</v>
      </c>
      <c r="I303" s="35"/>
      <c r="J303" s="35"/>
      <c r="K303" s="37"/>
    </row>
    <row r="304">
      <c r="A304" s="35" t="s">
        <v>45</v>
      </c>
      <c r="B304" s="34" t="s">
        <v>45</v>
      </c>
      <c r="C304" s="35" t="s">
        <v>45</v>
      </c>
      <c r="D304" s="35" t="s">
        <v>45</v>
      </c>
      <c r="E304" s="34" t="s">
        <v>45</v>
      </c>
      <c r="F304" s="35" t="n">
        <v>1.0</v>
      </c>
      <c r="G304" s="34" t="s">
        <v>394</v>
      </c>
      <c r="H304" s="34" t="s">
        <v>45</v>
      </c>
      <c r="I304" s="35"/>
      <c r="J304" s="35"/>
      <c r="K304" s="37"/>
    </row>
    <row r="305">
      <c r="A305" s="35" t="s">
        <v>45</v>
      </c>
      <c r="B305" s="34" t="s">
        <v>45</v>
      </c>
      <c r="C305" s="35" t="s">
        <v>45</v>
      </c>
      <c r="D305" s="35" t="s">
        <v>45</v>
      </c>
      <c r="E305" s="34" t="s">
        <v>45</v>
      </c>
      <c r="F305" s="35" t="n">
        <v>2.0</v>
      </c>
      <c r="G305" s="34" t="s">
        <v>159</v>
      </c>
      <c r="H305" s="34" t="s">
        <v>45</v>
      </c>
      <c r="I305" s="35"/>
      <c r="J305" s="35"/>
      <c r="K305" s="37"/>
    </row>
    <row r="306">
      <c r="A306" s="35" t="s">
        <v>45</v>
      </c>
      <c r="B306" s="34" t="s">
        <v>45</v>
      </c>
      <c r="C306" s="35" t="s">
        <v>45</v>
      </c>
      <c r="D306" s="35" t="s">
        <v>45</v>
      </c>
      <c r="E306" s="34" t="s">
        <v>45</v>
      </c>
      <c r="F306" s="35" t="n">
        <v>3.0</v>
      </c>
      <c r="G306" s="34" t="s">
        <v>395</v>
      </c>
      <c r="H306" s="34" t="s">
        <v>45</v>
      </c>
      <c r="I306" s="35"/>
      <c r="J306" s="35"/>
      <c r="K306" s="37"/>
    </row>
    <row r="307">
      <c r="A307" s="35" t="s">
        <v>45</v>
      </c>
      <c r="B307" s="34" t="s">
        <v>45</v>
      </c>
      <c r="C307" s="35" t="s">
        <v>45</v>
      </c>
      <c r="D307" s="35" t="s">
        <v>47</v>
      </c>
      <c r="E307" s="34" t="s">
        <v>396</v>
      </c>
      <c r="F307" s="35" t="s">
        <v>45</v>
      </c>
      <c r="G307" s="34" t="s">
        <v>45</v>
      </c>
      <c r="H307" s="34" t="s">
        <v>45</v>
      </c>
      <c r="I307" s="35" t="n">
        <v>4.0</v>
      </c>
      <c r="J307" s="35"/>
      <c r="K307" s="37" t="n">
        <v>1.5</v>
      </c>
    </row>
    <row r="308">
      <c r="A308" s="35" t="s">
        <v>45</v>
      </c>
      <c r="B308" s="34" t="s">
        <v>45</v>
      </c>
      <c r="C308" s="35" t="s">
        <v>45</v>
      </c>
      <c r="D308" s="35" t="s">
        <v>45</v>
      </c>
      <c r="E308" s="34" t="s">
        <v>45</v>
      </c>
      <c r="F308" s="35" t="n">
        <v>0.0</v>
      </c>
      <c r="G308" s="34" t="s">
        <v>397</v>
      </c>
      <c r="H308" s="34" t="s">
        <v>45</v>
      </c>
      <c r="I308" s="35"/>
      <c r="J308" s="35"/>
      <c r="K308" s="37"/>
    </row>
    <row r="309">
      <c r="A309" s="35" t="s">
        <v>45</v>
      </c>
      <c r="B309" s="34" t="s">
        <v>45</v>
      </c>
      <c r="C309" s="35" t="s">
        <v>45</v>
      </c>
      <c r="D309" s="35" t="s">
        <v>45</v>
      </c>
      <c r="E309" s="34" t="s">
        <v>45</v>
      </c>
      <c r="F309" s="35" t="n">
        <v>1.0</v>
      </c>
      <c r="G309" s="34" t="s">
        <v>398</v>
      </c>
      <c r="H309" s="34" t="s">
        <v>45</v>
      </c>
      <c r="I309" s="35"/>
      <c r="J309" s="35"/>
      <c r="K309" s="37"/>
    </row>
    <row r="310">
      <c r="A310" s="35" t="s">
        <v>45</v>
      </c>
      <c r="B310" s="34" t="s">
        <v>45</v>
      </c>
      <c r="C310" s="35" t="s">
        <v>45</v>
      </c>
      <c r="D310" s="35" t="s">
        <v>45</v>
      </c>
      <c r="E310" s="34" t="s">
        <v>45</v>
      </c>
      <c r="F310" s="35" t="n">
        <v>2.0</v>
      </c>
      <c r="G310" s="34" t="s">
        <v>399</v>
      </c>
      <c r="H310" s="34" t="s">
        <v>45</v>
      </c>
      <c r="I310" s="35"/>
      <c r="J310" s="35"/>
      <c r="K310" s="37"/>
    </row>
    <row r="311">
      <c r="A311" s="35" t="s">
        <v>45</v>
      </c>
      <c r="B311" s="34" t="s">
        <v>45</v>
      </c>
      <c r="C311" s="35" t="s">
        <v>45</v>
      </c>
      <c r="D311" s="35" t="s">
        <v>45</v>
      </c>
      <c r="E311" s="34" t="s">
        <v>45</v>
      </c>
      <c r="F311" s="35" t="n">
        <v>3.0</v>
      </c>
      <c r="G311" s="34" t="s">
        <v>400</v>
      </c>
      <c r="H311" s="34" t="s">
        <v>45</v>
      </c>
      <c r="I311" s="35"/>
      <c r="J311" s="35"/>
      <c r="K311" s="37"/>
    </row>
    <row r="312">
      <c r="A312" s="35" t="s">
        <v>45</v>
      </c>
      <c r="B312" s="34" t="s">
        <v>45</v>
      </c>
      <c r="C312" s="35" t="s">
        <v>45</v>
      </c>
      <c r="D312" s="35" t="s">
        <v>47</v>
      </c>
      <c r="E312" s="34" t="s">
        <v>401</v>
      </c>
      <c r="F312" s="35" t="s">
        <v>45</v>
      </c>
      <c r="G312" s="34" t="s">
        <v>45</v>
      </c>
      <c r="H312" s="34" t="s">
        <v>45</v>
      </c>
      <c r="I312" s="35" t="n">
        <v>4.0</v>
      </c>
      <c r="J312" s="35"/>
      <c r="K312" s="37" t="n">
        <v>2.0</v>
      </c>
    </row>
    <row r="313">
      <c r="A313" s="35" t="s">
        <v>45</v>
      </c>
      <c r="B313" s="34" t="s">
        <v>45</v>
      </c>
      <c r="C313" s="35" t="s">
        <v>45</v>
      </c>
      <c r="D313" s="35" t="s">
        <v>45</v>
      </c>
      <c r="E313" s="34" t="s">
        <v>45</v>
      </c>
      <c r="F313" s="35" t="n">
        <v>0.0</v>
      </c>
      <c r="G313" s="34" t="s">
        <v>402</v>
      </c>
      <c r="H313" s="34" t="s">
        <v>45</v>
      </c>
      <c r="I313" s="35"/>
      <c r="J313" s="35"/>
      <c r="K313" s="37"/>
    </row>
    <row r="314">
      <c r="A314" s="35" t="s">
        <v>45</v>
      </c>
      <c r="B314" s="34" t="s">
        <v>45</v>
      </c>
      <c r="C314" s="35" t="s">
        <v>45</v>
      </c>
      <c r="D314" s="35" t="s">
        <v>45</v>
      </c>
      <c r="E314" s="34" t="s">
        <v>45</v>
      </c>
      <c r="F314" s="35" t="n">
        <v>1.0</v>
      </c>
      <c r="G314" s="34" t="s">
        <v>314</v>
      </c>
      <c r="H314" s="34" t="s">
        <v>45</v>
      </c>
      <c r="I314" s="35"/>
      <c r="J314" s="35"/>
      <c r="K314" s="37"/>
    </row>
    <row r="315">
      <c r="A315" s="35" t="s">
        <v>45</v>
      </c>
      <c r="B315" s="34" t="s">
        <v>45</v>
      </c>
      <c r="C315" s="35" t="s">
        <v>45</v>
      </c>
      <c r="D315" s="35" t="s">
        <v>45</v>
      </c>
      <c r="E315" s="34" t="s">
        <v>45</v>
      </c>
      <c r="F315" s="35" t="n">
        <v>2.0</v>
      </c>
      <c r="G315" s="34" t="s">
        <v>403</v>
      </c>
      <c r="H315" s="34" t="s">
        <v>45</v>
      </c>
      <c r="I315" s="35"/>
      <c r="J315" s="35"/>
      <c r="K315" s="37"/>
    </row>
    <row r="316">
      <c r="A316" s="35" t="s">
        <v>45</v>
      </c>
      <c r="B316" s="34" t="s">
        <v>45</v>
      </c>
      <c r="C316" s="35" t="s">
        <v>45</v>
      </c>
      <c r="D316" s="35" t="s">
        <v>45</v>
      </c>
      <c r="E316" s="34" t="s">
        <v>45</v>
      </c>
      <c r="F316" s="35" t="n">
        <v>3.0</v>
      </c>
      <c r="G316" s="34" t="s">
        <v>404</v>
      </c>
      <c r="H316" s="34" t="s">
        <v>45</v>
      </c>
      <c r="I316" s="35"/>
      <c r="J316" s="35"/>
      <c r="K316" s="37"/>
    </row>
    <row r="317">
      <c r="A317" s="35" t="s">
        <v>45</v>
      </c>
      <c r="B317" s="34" t="s">
        <v>45</v>
      </c>
      <c r="C317" s="35" t="s">
        <v>45</v>
      </c>
      <c r="D317" s="35" t="s">
        <v>47</v>
      </c>
      <c r="E317" s="34" t="s">
        <v>405</v>
      </c>
      <c r="F317" s="35" t="s">
        <v>45</v>
      </c>
      <c r="G317" s="34" t="s">
        <v>45</v>
      </c>
      <c r="H317" s="34" t="s">
        <v>45</v>
      </c>
      <c r="I317" s="35" t="n">
        <v>2.0</v>
      </c>
      <c r="J317" s="35"/>
      <c r="K317" s="37" t="n">
        <v>0.75</v>
      </c>
    </row>
    <row r="318">
      <c r="A318" s="35" t="s">
        <v>45</v>
      </c>
      <c r="B318" s="34" t="s">
        <v>45</v>
      </c>
      <c r="C318" s="35" t="s">
        <v>45</v>
      </c>
      <c r="D318" s="35" t="s">
        <v>45</v>
      </c>
      <c r="E318" s="34" t="s">
        <v>45</v>
      </c>
      <c r="F318" s="35" t="n">
        <v>0.0</v>
      </c>
      <c r="G318" s="34" t="s">
        <v>406</v>
      </c>
      <c r="H318" s="34" t="s">
        <v>45</v>
      </c>
      <c r="I318" s="35"/>
      <c r="J318" s="35"/>
      <c r="K318" s="37"/>
    </row>
    <row r="319">
      <c r="A319" s="35" t="s">
        <v>45</v>
      </c>
      <c r="B319" s="34" t="s">
        <v>45</v>
      </c>
      <c r="C319" s="35" t="s">
        <v>45</v>
      </c>
      <c r="D319" s="35" t="s">
        <v>45</v>
      </c>
      <c r="E319" s="34" t="s">
        <v>45</v>
      </c>
      <c r="F319" s="35" t="n">
        <v>1.0</v>
      </c>
      <c r="G319" s="34" t="s">
        <v>407</v>
      </c>
      <c r="H319" s="34" t="s">
        <v>45</v>
      </c>
      <c r="I319" s="35"/>
      <c r="J319" s="35"/>
      <c r="K319" s="37"/>
    </row>
    <row r="320">
      <c r="A320" s="35" t="s">
        <v>45</v>
      </c>
      <c r="B320" s="34" t="s">
        <v>45</v>
      </c>
      <c r="C320" s="35" t="s">
        <v>45</v>
      </c>
      <c r="D320" s="35" t="s">
        <v>45</v>
      </c>
      <c r="E320" s="34" t="s">
        <v>45</v>
      </c>
      <c r="F320" s="35" t="n">
        <v>2.0</v>
      </c>
      <c r="G320" s="34" t="s">
        <v>408</v>
      </c>
      <c r="H320" s="34" t="s">
        <v>45</v>
      </c>
      <c r="I320" s="35"/>
      <c r="J320" s="35"/>
      <c r="K320" s="37"/>
    </row>
    <row r="321">
      <c r="A321" s="35" t="s">
        <v>45</v>
      </c>
      <c r="B321" s="34" t="s">
        <v>45</v>
      </c>
      <c r="C321" s="35" t="s">
        <v>45</v>
      </c>
      <c r="D321" s="35" t="s">
        <v>45</v>
      </c>
      <c r="E321" s="34" t="s">
        <v>45</v>
      </c>
      <c r="F321" s="35" t="n">
        <v>3.0</v>
      </c>
      <c r="G321" s="34" t="s">
        <v>409</v>
      </c>
      <c r="H321" s="34" t="s">
        <v>45</v>
      </c>
      <c r="I321" s="35"/>
      <c r="J321" s="35"/>
      <c r="K321" s="37"/>
    </row>
    <row r="322">
      <c r="A322" s="35" t="s">
        <v>410</v>
      </c>
      <c r="B322" s="34" t="s">
        <v>411</v>
      </c>
      <c r="C322" s="35" t="s">
        <v>391</v>
      </c>
      <c r="D322" s="34" t="s">
        <v>45</v>
      </c>
      <c r="E322" s="34" t="s">
        <v>45</v>
      </c>
      <c r="F322" s="34" t="s">
        <v>45</v>
      </c>
      <c r="G322" s="34" t="s">
        <v>45</v>
      </c>
      <c r="H322" s="34" t="s">
        <v>45</v>
      </c>
      <c r="I322" s="34" t="s">
        <v>45</v>
      </c>
      <c r="J322" s="34" t="s">
        <v>45</v>
      </c>
      <c r="K322" s="34" t="s">
        <v>45</v>
      </c>
    </row>
    <row r="323">
      <c r="A323" s="35" t="s">
        <v>45</v>
      </c>
      <c r="B323" s="34" t="s">
        <v>45</v>
      </c>
      <c r="C323" s="35" t="s">
        <v>45</v>
      </c>
      <c r="D323" s="35" t="s">
        <v>47</v>
      </c>
      <c r="E323" s="34" t="s">
        <v>412</v>
      </c>
      <c r="F323" s="35" t="s">
        <v>45</v>
      </c>
      <c r="G323" s="34" t="s">
        <v>45</v>
      </c>
      <c r="H323" s="34" t="s">
        <v>45</v>
      </c>
      <c r="I323" s="35" t="n">
        <v>5.0</v>
      </c>
      <c r="J323" s="35"/>
      <c r="K323" s="37" t="n">
        <v>0.5</v>
      </c>
    </row>
    <row r="324">
      <c r="A324" s="35" t="s">
        <v>45</v>
      </c>
      <c r="B324" s="34" t="s">
        <v>45</v>
      </c>
      <c r="C324" s="35" t="s">
        <v>45</v>
      </c>
      <c r="D324" s="35" t="s">
        <v>45</v>
      </c>
      <c r="E324" s="34" t="s">
        <v>45</v>
      </c>
      <c r="F324" s="35" t="n">
        <v>0.0</v>
      </c>
      <c r="G324" s="34" t="s">
        <v>413</v>
      </c>
      <c r="H324" s="34" t="s">
        <v>45</v>
      </c>
      <c r="I324" s="35"/>
      <c r="J324" s="35"/>
      <c r="K324" s="37"/>
    </row>
    <row r="325">
      <c r="A325" s="35" t="s">
        <v>45</v>
      </c>
      <c r="B325" s="34" t="s">
        <v>45</v>
      </c>
      <c r="C325" s="35" t="s">
        <v>45</v>
      </c>
      <c r="D325" s="35" t="s">
        <v>45</v>
      </c>
      <c r="E325" s="34" t="s">
        <v>45</v>
      </c>
      <c r="F325" s="35" t="n">
        <v>1.0</v>
      </c>
      <c r="G325" s="34" t="s">
        <v>414</v>
      </c>
      <c r="H325" s="34" t="s">
        <v>45</v>
      </c>
      <c r="I325" s="35"/>
      <c r="J325" s="35"/>
      <c r="K325" s="37"/>
    </row>
    <row r="326">
      <c r="A326" s="35" t="s">
        <v>45</v>
      </c>
      <c r="B326" s="34" t="s">
        <v>45</v>
      </c>
      <c r="C326" s="35" t="s">
        <v>45</v>
      </c>
      <c r="D326" s="35" t="s">
        <v>45</v>
      </c>
      <c r="E326" s="34" t="s">
        <v>45</v>
      </c>
      <c r="F326" s="35" t="n">
        <v>2.0</v>
      </c>
      <c r="G326" s="34" t="s">
        <v>415</v>
      </c>
      <c r="H326" s="34" t="s">
        <v>45</v>
      </c>
      <c r="I326" s="35"/>
      <c r="J326" s="35"/>
      <c r="K326" s="37"/>
    </row>
    <row r="327">
      <c r="A327" s="35" t="s">
        <v>45</v>
      </c>
      <c r="B327" s="34" t="s">
        <v>45</v>
      </c>
      <c r="C327" s="35" t="s">
        <v>45</v>
      </c>
      <c r="D327" s="35" t="s">
        <v>45</v>
      </c>
      <c r="E327" s="34" t="s">
        <v>45</v>
      </c>
      <c r="F327" s="35" t="n">
        <v>3.0</v>
      </c>
      <c r="G327" s="34" t="s">
        <v>416</v>
      </c>
      <c r="H327" s="34" t="s">
        <v>45</v>
      </c>
      <c r="I327" s="35"/>
      <c r="J327" s="35"/>
      <c r="K327" s="37"/>
    </row>
    <row r="328">
      <c r="A328" s="35" t="s">
        <v>45</v>
      </c>
      <c r="B328" s="34" t="s">
        <v>45</v>
      </c>
      <c r="C328" s="35" t="s">
        <v>45</v>
      </c>
      <c r="D328" s="35" t="s">
        <v>47</v>
      </c>
      <c r="E328" s="34" t="s">
        <v>417</v>
      </c>
      <c r="F328" s="35" t="s">
        <v>45</v>
      </c>
      <c r="G328" s="34" t="s">
        <v>45</v>
      </c>
      <c r="H328" s="34" t="s">
        <v>45</v>
      </c>
      <c r="I328" s="35" t="n">
        <v>3.0</v>
      </c>
      <c r="J328" s="35"/>
      <c r="K328" s="37" t="n">
        <v>0.5</v>
      </c>
    </row>
    <row r="329">
      <c r="A329" s="35" t="s">
        <v>45</v>
      </c>
      <c r="B329" s="34" t="s">
        <v>45</v>
      </c>
      <c r="C329" s="35" t="s">
        <v>45</v>
      </c>
      <c r="D329" s="35" t="s">
        <v>45</v>
      </c>
      <c r="E329" s="34" t="s">
        <v>45</v>
      </c>
      <c r="F329" s="35" t="n">
        <v>0.0</v>
      </c>
      <c r="G329" s="34" t="s">
        <v>418</v>
      </c>
      <c r="H329" s="34" t="s">
        <v>45</v>
      </c>
      <c r="I329" s="35"/>
      <c r="J329" s="35"/>
      <c r="K329" s="37"/>
    </row>
    <row r="330">
      <c r="A330" s="35" t="s">
        <v>45</v>
      </c>
      <c r="B330" s="34" t="s">
        <v>45</v>
      </c>
      <c r="C330" s="35" t="s">
        <v>45</v>
      </c>
      <c r="D330" s="35" t="s">
        <v>45</v>
      </c>
      <c r="E330" s="34" t="s">
        <v>45</v>
      </c>
      <c r="F330" s="35" t="n">
        <v>1.0</v>
      </c>
      <c r="G330" s="34" t="s">
        <v>419</v>
      </c>
      <c r="H330" s="34" t="s">
        <v>45</v>
      </c>
      <c r="I330" s="35"/>
      <c r="J330" s="35"/>
      <c r="K330" s="37"/>
    </row>
    <row r="331">
      <c r="A331" s="35" t="s">
        <v>45</v>
      </c>
      <c r="B331" s="34" t="s">
        <v>45</v>
      </c>
      <c r="C331" s="35" t="s">
        <v>45</v>
      </c>
      <c r="D331" s="35" t="s">
        <v>45</v>
      </c>
      <c r="E331" s="34" t="s">
        <v>45</v>
      </c>
      <c r="F331" s="35" t="n">
        <v>2.0</v>
      </c>
      <c r="G331" s="34" t="s">
        <v>420</v>
      </c>
      <c r="H331" s="34" t="s">
        <v>45</v>
      </c>
      <c r="I331" s="35"/>
      <c r="J331" s="35"/>
      <c r="K331" s="37"/>
    </row>
    <row r="332">
      <c r="A332" s="35" t="s">
        <v>45</v>
      </c>
      <c r="B332" s="34" t="s">
        <v>45</v>
      </c>
      <c r="C332" s="35" t="s">
        <v>45</v>
      </c>
      <c r="D332" s="35" t="s">
        <v>45</v>
      </c>
      <c r="E332" s="34" t="s">
        <v>45</v>
      </c>
      <c r="F332" s="35" t="n">
        <v>3.0</v>
      </c>
      <c r="G332" s="34" t="s">
        <v>421</v>
      </c>
      <c r="H332" s="34" t="s">
        <v>45</v>
      </c>
      <c r="I332" s="35"/>
      <c r="J332" s="35"/>
      <c r="K332" s="37"/>
    </row>
    <row r="333">
      <c r="A333" s="35" t="s">
        <v>45</v>
      </c>
      <c r="B333" s="34" t="s">
        <v>45</v>
      </c>
      <c r="C333" s="35" t="s">
        <v>45</v>
      </c>
      <c r="D333" s="35" t="s">
        <v>47</v>
      </c>
      <c r="E333" s="34" t="s">
        <v>422</v>
      </c>
      <c r="F333" s="35" t="s">
        <v>45</v>
      </c>
      <c r="G333" s="34" t="s">
        <v>45</v>
      </c>
      <c r="H333" s="34" t="s">
        <v>45</v>
      </c>
      <c r="I333" s="35" t="n">
        <v>3.0</v>
      </c>
      <c r="J333" s="35"/>
      <c r="K333" s="37" t="n">
        <v>0.5</v>
      </c>
    </row>
    <row r="334">
      <c r="A334" s="35" t="s">
        <v>45</v>
      </c>
      <c r="B334" s="34" t="s">
        <v>45</v>
      </c>
      <c r="C334" s="35" t="s">
        <v>45</v>
      </c>
      <c r="D334" s="35" t="s">
        <v>45</v>
      </c>
      <c r="E334" s="34" t="s">
        <v>45</v>
      </c>
      <c r="F334" s="35" t="n">
        <v>0.0</v>
      </c>
      <c r="G334" s="34" t="s">
        <v>423</v>
      </c>
      <c r="H334" s="34" t="s">
        <v>45</v>
      </c>
      <c r="I334" s="35"/>
      <c r="J334" s="35"/>
      <c r="K334" s="37"/>
    </row>
    <row r="335">
      <c r="A335" s="35" t="s">
        <v>45</v>
      </c>
      <c r="B335" s="34" t="s">
        <v>45</v>
      </c>
      <c r="C335" s="35" t="s">
        <v>45</v>
      </c>
      <c r="D335" s="35" t="s">
        <v>45</v>
      </c>
      <c r="E335" s="34" t="s">
        <v>45</v>
      </c>
      <c r="F335" s="35" t="n">
        <v>1.0</v>
      </c>
      <c r="G335" s="34" t="s">
        <v>424</v>
      </c>
      <c r="H335" s="34" t="s">
        <v>45</v>
      </c>
      <c r="I335" s="35"/>
      <c r="J335" s="35"/>
      <c r="K335" s="37"/>
    </row>
    <row r="336">
      <c r="A336" s="35" t="s">
        <v>45</v>
      </c>
      <c r="B336" s="34" t="s">
        <v>45</v>
      </c>
      <c r="C336" s="35" t="s">
        <v>45</v>
      </c>
      <c r="D336" s="35" t="s">
        <v>45</v>
      </c>
      <c r="E336" s="34" t="s">
        <v>45</v>
      </c>
      <c r="F336" s="35" t="n">
        <v>2.0</v>
      </c>
      <c r="G336" s="34" t="s">
        <v>425</v>
      </c>
      <c r="H336" s="34" t="s">
        <v>45</v>
      </c>
      <c r="I336" s="35"/>
      <c r="J336" s="35"/>
      <c r="K336" s="37"/>
    </row>
    <row r="337">
      <c r="A337" s="35" t="s">
        <v>45</v>
      </c>
      <c r="B337" s="34" t="s">
        <v>45</v>
      </c>
      <c r="C337" s="35" t="s">
        <v>45</v>
      </c>
      <c r="D337" s="35" t="s">
        <v>45</v>
      </c>
      <c r="E337" s="34" t="s">
        <v>45</v>
      </c>
      <c r="F337" s="35" t="n">
        <v>3.0</v>
      </c>
      <c r="G337" s="34" t="s">
        <v>426</v>
      </c>
      <c r="H337" s="34" t="s">
        <v>45</v>
      </c>
      <c r="I337" s="35"/>
      <c r="J337" s="35"/>
      <c r="K337" s="37"/>
    </row>
    <row r="338">
      <c r="A338" s="35" t="s">
        <v>45</v>
      </c>
      <c r="B338" s="34" t="s">
        <v>45</v>
      </c>
      <c r="C338" s="35" t="s">
        <v>45</v>
      </c>
      <c r="D338" s="35" t="s">
        <v>47</v>
      </c>
      <c r="E338" s="34" t="s">
        <v>427</v>
      </c>
      <c r="F338" s="35" t="s">
        <v>45</v>
      </c>
      <c r="G338" s="34" t="s">
        <v>45</v>
      </c>
      <c r="H338" s="34" t="s">
        <v>45</v>
      </c>
      <c r="I338" s="35" t="n">
        <v>3.0</v>
      </c>
      <c r="J338" s="35"/>
      <c r="K338" s="37" t="n">
        <v>0.5</v>
      </c>
    </row>
    <row r="339">
      <c r="A339" s="35" t="s">
        <v>45</v>
      </c>
      <c r="B339" s="34" t="s">
        <v>45</v>
      </c>
      <c r="C339" s="35" t="s">
        <v>45</v>
      </c>
      <c r="D339" s="35" t="s">
        <v>45</v>
      </c>
      <c r="E339" s="34" t="s">
        <v>45</v>
      </c>
      <c r="F339" s="35" t="n">
        <v>0.0</v>
      </c>
      <c r="G339" s="34" t="s">
        <v>423</v>
      </c>
      <c r="H339" s="34" t="s">
        <v>45</v>
      </c>
      <c r="I339" s="35"/>
      <c r="J339" s="35"/>
      <c r="K339" s="37"/>
    </row>
    <row r="340">
      <c r="A340" s="35" t="s">
        <v>45</v>
      </c>
      <c r="B340" s="34" t="s">
        <v>45</v>
      </c>
      <c r="C340" s="35" t="s">
        <v>45</v>
      </c>
      <c r="D340" s="35" t="s">
        <v>45</v>
      </c>
      <c r="E340" s="34" t="s">
        <v>45</v>
      </c>
      <c r="F340" s="35" t="n">
        <v>1.0</v>
      </c>
      <c r="G340" s="34" t="s">
        <v>424</v>
      </c>
      <c r="H340" s="34" t="s">
        <v>45</v>
      </c>
      <c r="I340" s="35"/>
      <c r="J340" s="35"/>
      <c r="K340" s="37"/>
    </row>
    <row r="341">
      <c r="A341" s="35" t="s">
        <v>45</v>
      </c>
      <c r="B341" s="34" t="s">
        <v>45</v>
      </c>
      <c r="C341" s="35" t="s">
        <v>45</v>
      </c>
      <c r="D341" s="35" t="s">
        <v>45</v>
      </c>
      <c r="E341" s="34" t="s">
        <v>45</v>
      </c>
      <c r="F341" s="35" t="n">
        <v>2.0</v>
      </c>
      <c r="G341" s="34" t="s">
        <v>428</v>
      </c>
      <c r="H341" s="34" t="s">
        <v>45</v>
      </c>
      <c r="I341" s="35"/>
      <c r="J341" s="35"/>
      <c r="K341" s="37"/>
    </row>
    <row r="342">
      <c r="A342" s="35" t="s">
        <v>45</v>
      </c>
      <c r="B342" s="34" t="s">
        <v>45</v>
      </c>
      <c r="C342" s="35" t="s">
        <v>45</v>
      </c>
      <c r="D342" s="35" t="s">
        <v>45</v>
      </c>
      <c r="E342" s="34" t="s">
        <v>45</v>
      </c>
      <c r="F342" s="35" t="n">
        <v>3.0</v>
      </c>
      <c r="G342" s="34" t="s">
        <v>429</v>
      </c>
      <c r="H342" s="34" t="s">
        <v>45</v>
      </c>
      <c r="I342" s="35"/>
      <c r="J342" s="35"/>
      <c r="K342" s="37"/>
    </row>
    <row r="343">
      <c r="A343" s="35" t="s">
        <v>45</v>
      </c>
      <c r="B343" s="34" t="s">
        <v>45</v>
      </c>
      <c r="C343" s="35" t="s">
        <v>45</v>
      </c>
      <c r="D343" s="35" t="s">
        <v>47</v>
      </c>
      <c r="E343" s="34" t="s">
        <v>430</v>
      </c>
      <c r="F343" s="35" t="s">
        <v>45</v>
      </c>
      <c r="G343" s="34" t="s">
        <v>45</v>
      </c>
      <c r="H343" s="34" t="s">
        <v>45</v>
      </c>
      <c r="I343" s="35" t="n">
        <v>2.0</v>
      </c>
      <c r="J343" s="35"/>
      <c r="K343" s="37" t="n">
        <v>0.5</v>
      </c>
    </row>
    <row r="344">
      <c r="A344" s="35" t="s">
        <v>45</v>
      </c>
      <c r="B344" s="34" t="s">
        <v>45</v>
      </c>
      <c r="C344" s="35" t="s">
        <v>45</v>
      </c>
      <c r="D344" s="35" t="s">
        <v>45</v>
      </c>
      <c r="E344" s="34" t="s">
        <v>45</v>
      </c>
      <c r="F344" s="35" t="n">
        <v>0.0</v>
      </c>
      <c r="G344" s="34" t="s">
        <v>431</v>
      </c>
      <c r="H344" s="34" t="s">
        <v>45</v>
      </c>
      <c r="I344" s="35"/>
      <c r="J344" s="35"/>
      <c r="K344" s="37"/>
    </row>
    <row r="345">
      <c r="A345" s="35" t="s">
        <v>45</v>
      </c>
      <c r="B345" s="34" t="s">
        <v>45</v>
      </c>
      <c r="C345" s="35" t="s">
        <v>45</v>
      </c>
      <c r="D345" s="35" t="s">
        <v>45</v>
      </c>
      <c r="E345" s="34" t="s">
        <v>45</v>
      </c>
      <c r="F345" s="35" t="n">
        <v>1.0</v>
      </c>
      <c r="G345" s="34" t="s">
        <v>432</v>
      </c>
      <c r="H345" s="34" t="s">
        <v>45</v>
      </c>
      <c r="I345" s="35"/>
      <c r="J345" s="35"/>
      <c r="K345" s="37"/>
    </row>
    <row r="346">
      <c r="A346" s="35" t="s">
        <v>45</v>
      </c>
      <c r="B346" s="34" t="s">
        <v>45</v>
      </c>
      <c r="C346" s="35" t="s">
        <v>45</v>
      </c>
      <c r="D346" s="35" t="s">
        <v>45</v>
      </c>
      <c r="E346" s="34" t="s">
        <v>45</v>
      </c>
      <c r="F346" s="35" t="n">
        <v>2.0</v>
      </c>
      <c r="G346" s="34" t="s">
        <v>433</v>
      </c>
      <c r="H346" s="34" t="s">
        <v>45</v>
      </c>
      <c r="I346" s="35"/>
      <c r="J346" s="35"/>
      <c r="K346" s="37"/>
    </row>
    <row r="347">
      <c r="A347" s="35" t="s">
        <v>45</v>
      </c>
      <c r="B347" s="34" t="s">
        <v>45</v>
      </c>
      <c r="C347" s="35" t="s">
        <v>45</v>
      </c>
      <c r="D347" s="35" t="s">
        <v>45</v>
      </c>
      <c r="E347" s="34" t="s">
        <v>45</v>
      </c>
      <c r="F347" s="35" t="n">
        <v>3.0</v>
      </c>
      <c r="G347" s="34" t="s">
        <v>434</v>
      </c>
      <c r="H347" s="34" t="s">
        <v>45</v>
      </c>
      <c r="I347" s="35"/>
      <c r="J347" s="35"/>
      <c r="K347" s="37"/>
    </row>
    <row r="348">
      <c r="A348" s="35" t="s">
        <v>435</v>
      </c>
      <c r="B348" s="34" t="s">
        <v>436</v>
      </c>
      <c r="C348" s="35" t="s">
        <v>391</v>
      </c>
      <c r="D348" s="34" t="s">
        <v>45</v>
      </c>
      <c r="E348" s="34" t="s">
        <v>45</v>
      </c>
      <c r="F348" s="34" t="s">
        <v>45</v>
      </c>
      <c r="G348" s="34" t="s">
        <v>45</v>
      </c>
      <c r="H348" s="34" t="s">
        <v>45</v>
      </c>
      <c r="I348" s="34" t="s">
        <v>45</v>
      </c>
      <c r="J348" s="34" t="s">
        <v>45</v>
      </c>
      <c r="K348" s="34" t="s">
        <v>45</v>
      </c>
    </row>
    <row r="349">
      <c r="A349" s="35" t="s">
        <v>45</v>
      </c>
      <c r="B349" s="34" t="s">
        <v>45</v>
      </c>
      <c r="C349" s="35" t="s">
        <v>45</v>
      </c>
      <c r="D349" s="35" t="s">
        <v>83</v>
      </c>
      <c r="E349" s="34" t="s">
        <v>437</v>
      </c>
      <c r="F349" s="35" t="s">
        <v>45</v>
      </c>
      <c r="G349" s="34" t="s">
        <v>438</v>
      </c>
      <c r="H349" s="34" t="s">
        <v>45</v>
      </c>
      <c r="I349" s="35" t="n">
        <v>5.0</v>
      </c>
      <c r="J349" s="35"/>
      <c r="K349" s="37" t="n">
        <v>2.0</v>
      </c>
    </row>
    <row r="350">
      <c r="A350" s="35" t="s">
        <v>45</v>
      </c>
      <c r="B350" s="34" t="s">
        <v>45</v>
      </c>
      <c r="C350" s="35" t="s">
        <v>45</v>
      </c>
      <c r="D350" s="35" t="s">
        <v>83</v>
      </c>
      <c r="E350" s="34" t="s">
        <v>439</v>
      </c>
      <c r="F350" s="35" t="s">
        <v>45</v>
      </c>
      <c r="G350" s="34" t="s">
        <v>440</v>
      </c>
      <c r="H350" s="34" t="s">
        <v>45</v>
      </c>
      <c r="I350" s="35" t="n">
        <v>5.0</v>
      </c>
      <c r="J350" s="35"/>
      <c r="K350" s="37" t="n">
        <v>0.5</v>
      </c>
    </row>
    <row r="351">
      <c r="A351" s="35" t="s">
        <v>45</v>
      </c>
      <c r="B351" s="34" t="s">
        <v>45</v>
      </c>
      <c r="C351" s="35" t="s">
        <v>45</v>
      </c>
      <c r="D351" s="35" t="s">
        <v>83</v>
      </c>
      <c r="E351" s="34" t="s">
        <v>441</v>
      </c>
      <c r="F351" s="35" t="s">
        <v>45</v>
      </c>
      <c r="G351" s="34" t="s">
        <v>442</v>
      </c>
      <c r="H351" s="34" t="s">
        <v>45</v>
      </c>
      <c r="I351" s="35" t="n">
        <v>5.0</v>
      </c>
      <c r="J351" s="35"/>
      <c r="K351" s="37" t="n">
        <v>1.5</v>
      </c>
    </row>
    <row r="352">
      <c r="A352" s="35" t="s">
        <v>45</v>
      </c>
      <c r="B352" s="34" t="s">
        <v>45</v>
      </c>
      <c r="C352" s="35" t="s">
        <v>45</v>
      </c>
      <c r="D352" s="35" t="s">
        <v>83</v>
      </c>
      <c r="E352" s="34" t="s">
        <v>443</v>
      </c>
      <c r="F352" s="35" t="s">
        <v>45</v>
      </c>
      <c r="G352" s="34" t="s">
        <v>444</v>
      </c>
      <c r="H352" s="34" t="s">
        <v>45</v>
      </c>
      <c r="I352" s="35" t="n">
        <v>1.0</v>
      </c>
      <c r="J352" s="35"/>
      <c r="K352" s="37" t="n">
        <v>1.0</v>
      </c>
    </row>
    <row r="353">
      <c r="A353" s="35" t="s">
        <v>45</v>
      </c>
      <c r="B353" s="34" t="s">
        <v>45</v>
      </c>
      <c r="C353" s="35" t="s">
        <v>45</v>
      </c>
      <c r="D353" s="35" t="s">
        <v>83</v>
      </c>
      <c r="E353" s="34" t="s">
        <v>445</v>
      </c>
      <c r="F353" s="35" t="s">
        <v>45</v>
      </c>
      <c r="G353" s="34" t="s">
        <v>446</v>
      </c>
      <c r="H353" s="34" t="s">
        <v>45</v>
      </c>
      <c r="I353" s="35" t="n">
        <v>5.0</v>
      </c>
      <c r="J353" s="35"/>
      <c r="K353" s="37" t="n">
        <v>0.25</v>
      </c>
    </row>
    <row r="354">
      <c r="A354" s="35" t="s">
        <v>45</v>
      </c>
      <c r="B354" s="34" t="s">
        <v>45</v>
      </c>
      <c r="C354" s="35" t="s">
        <v>45</v>
      </c>
      <c r="D354" s="35" t="s">
        <v>83</v>
      </c>
      <c r="E354" s="34" t="s">
        <v>447</v>
      </c>
      <c r="F354" s="35" t="s">
        <v>45</v>
      </c>
      <c r="G354" s="34" t="s">
        <v>448</v>
      </c>
      <c r="H354" s="34" t="s">
        <v>45</v>
      </c>
      <c r="I354" s="35" t="n">
        <v>5.0</v>
      </c>
      <c r="J354" s="35"/>
      <c r="K354" s="37" t="n">
        <v>0.25</v>
      </c>
    </row>
    <row r="355">
      <c r="A355" s="35" t="s">
        <v>45</v>
      </c>
      <c r="B355" s="34" t="s">
        <v>45</v>
      </c>
      <c r="C355" s="35" t="s">
        <v>45</v>
      </c>
      <c r="D355" s="35" t="s">
        <v>83</v>
      </c>
      <c r="E355" s="34" t="s">
        <v>449</v>
      </c>
      <c r="F355" s="35" t="s">
        <v>45</v>
      </c>
      <c r="G355" s="34" t="s">
        <v>450</v>
      </c>
      <c r="H355" s="34" t="s">
        <v>45</v>
      </c>
      <c r="I355" s="35" t="n">
        <v>3.0</v>
      </c>
      <c r="J355" s="35"/>
      <c r="K355" s="37" t="n">
        <v>0.5</v>
      </c>
    </row>
    <row r="356">
      <c r="A356" s="35" t="s">
        <v>451</v>
      </c>
      <c r="B356" s="34" t="s">
        <v>452</v>
      </c>
      <c r="C356" s="35" t="s">
        <v>391</v>
      </c>
      <c r="D356" s="34" t="s">
        <v>45</v>
      </c>
      <c r="E356" s="34" t="s">
        <v>45</v>
      </c>
      <c r="F356" s="34" t="s">
        <v>45</v>
      </c>
      <c r="G356" s="34" t="s">
        <v>45</v>
      </c>
      <c r="H356" s="34" t="s">
        <v>45</v>
      </c>
      <c r="I356" s="34" t="s">
        <v>45</v>
      </c>
      <c r="J356" s="34" t="s">
        <v>45</v>
      </c>
      <c r="K356" s="34" t="s">
        <v>45</v>
      </c>
    </row>
    <row r="357">
      <c r="A357" s="35" t="s">
        <v>45</v>
      </c>
      <c r="B357" s="34" t="s">
        <v>45</v>
      </c>
      <c r="C357" s="35" t="s">
        <v>45</v>
      </c>
      <c r="D357" s="35" t="s">
        <v>83</v>
      </c>
      <c r="E357" s="34" t="s">
        <v>453</v>
      </c>
      <c r="F357" s="35" t="s">
        <v>45</v>
      </c>
      <c r="G357" s="34" t="s">
        <v>454</v>
      </c>
      <c r="H357" s="34" t="s">
        <v>45</v>
      </c>
      <c r="I357" s="35" t="n">
        <v>1.0</v>
      </c>
      <c r="J357" s="35"/>
      <c r="K357" s="37" t="n">
        <v>0.5</v>
      </c>
    </row>
    <row r="358">
      <c r="A358" s="35" t="s">
        <v>45</v>
      </c>
      <c r="B358" s="34" t="s">
        <v>45</v>
      </c>
      <c r="C358" s="35" t="s">
        <v>45</v>
      </c>
      <c r="D358" s="35" t="s">
        <v>83</v>
      </c>
      <c r="E358" s="34" t="s">
        <v>133</v>
      </c>
      <c r="F358" s="35" t="s">
        <v>45</v>
      </c>
      <c r="G358" s="34" t="s">
        <v>455</v>
      </c>
      <c r="H358" s="34" t="s">
        <v>45</v>
      </c>
      <c r="I358" s="35" t="n">
        <v>5.0</v>
      </c>
      <c r="J358" s="35"/>
      <c r="K358" s="37" t="n">
        <v>0.25</v>
      </c>
    </row>
    <row r="359">
      <c r="A359" s="35" t="s">
        <v>45</v>
      </c>
      <c r="B359" s="34" t="s">
        <v>45</v>
      </c>
      <c r="C359" s="35" t="s">
        <v>45</v>
      </c>
      <c r="D359" s="35" t="s">
        <v>83</v>
      </c>
      <c r="E359" s="34" t="s">
        <v>456</v>
      </c>
      <c r="F359" s="35" t="s">
        <v>45</v>
      </c>
      <c r="G359" s="34" t="s">
        <v>457</v>
      </c>
      <c r="H359" s="34" t="s">
        <v>45</v>
      </c>
      <c r="I359" s="35" t="n">
        <v>5.0</v>
      </c>
      <c r="J359" s="35"/>
      <c r="K359" s="37" t="n">
        <v>0.25</v>
      </c>
    </row>
    <row r="360">
      <c r="A360" s="35" t="s">
        <v>45</v>
      </c>
      <c r="B360" s="34" t="s">
        <v>45</v>
      </c>
      <c r="C360" s="35" t="s">
        <v>45</v>
      </c>
      <c r="D360" s="35" t="s">
        <v>47</v>
      </c>
      <c r="E360" s="34" t="s">
        <v>458</v>
      </c>
      <c r="F360" s="35" t="s">
        <v>45</v>
      </c>
      <c r="G360" s="34" t="s">
        <v>45</v>
      </c>
      <c r="H360" s="34" t="s">
        <v>45</v>
      </c>
      <c r="I360" s="35" t="n">
        <v>4.0</v>
      </c>
      <c r="J360" s="35"/>
      <c r="K360" s="37" t="n">
        <v>1.5</v>
      </c>
    </row>
    <row r="361">
      <c r="A361" s="35" t="s">
        <v>45</v>
      </c>
      <c r="B361" s="34" t="s">
        <v>45</v>
      </c>
      <c r="C361" s="35" t="s">
        <v>45</v>
      </c>
      <c r="D361" s="35" t="s">
        <v>45</v>
      </c>
      <c r="E361" s="34" t="s">
        <v>45</v>
      </c>
      <c r="F361" s="35" t="n">
        <v>0.0</v>
      </c>
      <c r="G361" s="34" t="s">
        <v>459</v>
      </c>
      <c r="H361" s="34" t="s">
        <v>45</v>
      </c>
      <c r="I361" s="35"/>
      <c r="J361" s="35"/>
      <c r="K361" s="37"/>
    </row>
    <row r="362">
      <c r="A362" s="35" t="s">
        <v>45</v>
      </c>
      <c r="B362" s="34" t="s">
        <v>45</v>
      </c>
      <c r="C362" s="35" t="s">
        <v>45</v>
      </c>
      <c r="D362" s="35" t="s">
        <v>45</v>
      </c>
      <c r="E362" s="34" t="s">
        <v>45</v>
      </c>
      <c r="F362" s="35" t="n">
        <v>1.0</v>
      </c>
      <c r="G362" s="34" t="s">
        <v>460</v>
      </c>
      <c r="H362" s="34" t="s">
        <v>45</v>
      </c>
      <c r="I362" s="35"/>
      <c r="J362" s="35"/>
      <c r="K362" s="37"/>
    </row>
    <row r="363">
      <c r="A363" s="35" t="s">
        <v>45</v>
      </c>
      <c r="B363" s="34" t="s">
        <v>45</v>
      </c>
      <c r="C363" s="35" t="s">
        <v>45</v>
      </c>
      <c r="D363" s="35" t="s">
        <v>45</v>
      </c>
      <c r="E363" s="34" t="s">
        <v>45</v>
      </c>
      <c r="F363" s="35" t="n">
        <v>2.0</v>
      </c>
      <c r="G363" s="34" t="s">
        <v>461</v>
      </c>
      <c r="H363" s="34" t="s">
        <v>45</v>
      </c>
      <c r="I363" s="35"/>
      <c r="J363" s="35"/>
      <c r="K363" s="37"/>
    </row>
    <row r="364">
      <c r="A364" s="35" t="s">
        <v>45</v>
      </c>
      <c r="B364" s="34" t="s">
        <v>45</v>
      </c>
      <c r="C364" s="35" t="s">
        <v>45</v>
      </c>
      <c r="D364" s="35" t="s">
        <v>45</v>
      </c>
      <c r="E364" s="34" t="s">
        <v>45</v>
      </c>
      <c r="F364" s="35" t="n">
        <v>3.0</v>
      </c>
      <c r="G364" s="34" t="s">
        <v>462</v>
      </c>
      <c r="H364" s="34" t="s">
        <v>45</v>
      </c>
      <c r="I364" s="35"/>
      <c r="J364" s="35"/>
      <c r="K364" s="37"/>
    </row>
    <row r="365">
      <c r="A365" s="35" t="s">
        <v>45</v>
      </c>
      <c r="B365" s="34" t="s">
        <v>45</v>
      </c>
      <c r="C365" s="35" t="s">
        <v>45</v>
      </c>
      <c r="D365" s="35" t="s">
        <v>47</v>
      </c>
      <c r="E365" s="34" t="s">
        <v>330</v>
      </c>
      <c r="F365" s="35" t="s">
        <v>45</v>
      </c>
      <c r="G365" s="34" t="s">
        <v>45</v>
      </c>
      <c r="H365" s="34" t="s">
        <v>45</v>
      </c>
      <c r="I365" s="35" t="n">
        <v>2.0</v>
      </c>
      <c r="J365" s="35"/>
      <c r="K365" s="37" t="n">
        <v>0.5</v>
      </c>
    </row>
    <row r="366">
      <c r="A366" s="35" t="s">
        <v>45</v>
      </c>
      <c r="B366" s="34" t="s">
        <v>45</v>
      </c>
      <c r="C366" s="35" t="s">
        <v>45</v>
      </c>
      <c r="D366" s="35" t="s">
        <v>45</v>
      </c>
      <c r="E366" s="34" t="s">
        <v>45</v>
      </c>
      <c r="F366" s="35" t="n">
        <v>0.0</v>
      </c>
      <c r="G366" s="34" t="s">
        <v>463</v>
      </c>
      <c r="H366" s="34" t="s">
        <v>45</v>
      </c>
      <c r="I366" s="35"/>
      <c r="J366" s="35"/>
      <c r="K366" s="37"/>
    </row>
    <row r="367">
      <c r="A367" s="35" t="s">
        <v>45</v>
      </c>
      <c r="B367" s="34" t="s">
        <v>45</v>
      </c>
      <c r="C367" s="35" t="s">
        <v>45</v>
      </c>
      <c r="D367" s="35" t="s">
        <v>45</v>
      </c>
      <c r="E367" s="34" t="s">
        <v>45</v>
      </c>
      <c r="F367" s="35" t="n">
        <v>1.0</v>
      </c>
      <c r="G367" s="34" t="s">
        <v>464</v>
      </c>
      <c r="H367" s="34" t="s">
        <v>45</v>
      </c>
      <c r="I367" s="35"/>
      <c r="J367" s="35"/>
      <c r="K367" s="37"/>
    </row>
    <row r="368">
      <c r="A368" s="35" t="s">
        <v>45</v>
      </c>
      <c r="B368" s="34" t="s">
        <v>45</v>
      </c>
      <c r="C368" s="35" t="s">
        <v>45</v>
      </c>
      <c r="D368" s="35" t="s">
        <v>45</v>
      </c>
      <c r="E368" s="34" t="s">
        <v>45</v>
      </c>
      <c r="F368" s="35" t="n">
        <v>2.0</v>
      </c>
      <c r="G368" s="34" t="s">
        <v>465</v>
      </c>
      <c r="H368" s="34" t="s">
        <v>45</v>
      </c>
      <c r="I368" s="35"/>
      <c r="J368" s="35"/>
      <c r="K368" s="37"/>
    </row>
    <row r="369">
      <c r="A369" s="35" t="s">
        <v>45</v>
      </c>
      <c r="B369" s="34" t="s">
        <v>45</v>
      </c>
      <c r="C369" s="35" t="s">
        <v>45</v>
      </c>
      <c r="D369" s="35" t="s">
        <v>45</v>
      </c>
      <c r="E369" s="34" t="s">
        <v>45</v>
      </c>
      <c r="F369" s="35" t="n">
        <v>3.0</v>
      </c>
      <c r="G369" s="34" t="s">
        <v>466</v>
      </c>
      <c r="H369" s="34" t="s">
        <v>45</v>
      </c>
      <c r="I369" s="35"/>
      <c r="J369" s="35"/>
      <c r="K369" s="37"/>
    </row>
    <row r="370">
      <c r="A370" s="35" t="s">
        <v>45</v>
      </c>
      <c r="B370" s="34" t="s">
        <v>45</v>
      </c>
      <c r="C370" s="35" t="s">
        <v>45</v>
      </c>
      <c r="D370" s="35" t="s">
        <v>47</v>
      </c>
      <c r="E370" s="34" t="s">
        <v>467</v>
      </c>
      <c r="F370" s="35" t="s">
        <v>45</v>
      </c>
      <c r="G370" s="34" t="s">
        <v>45</v>
      </c>
      <c r="H370" s="34" t="s">
        <v>45</v>
      </c>
      <c r="I370" s="35" t="n">
        <v>2.0</v>
      </c>
      <c r="J370" s="35"/>
      <c r="K370" s="37" t="n">
        <v>0.75</v>
      </c>
    </row>
    <row r="371">
      <c r="A371" s="35" t="s">
        <v>45</v>
      </c>
      <c r="B371" s="34" t="s">
        <v>45</v>
      </c>
      <c r="C371" s="35" t="s">
        <v>45</v>
      </c>
      <c r="D371" s="35" t="s">
        <v>45</v>
      </c>
      <c r="E371" s="34" t="s">
        <v>45</v>
      </c>
      <c r="F371" s="35" t="n">
        <v>0.0</v>
      </c>
      <c r="G371" s="34" t="s">
        <v>213</v>
      </c>
      <c r="H371" s="34" t="s">
        <v>45</v>
      </c>
      <c r="I371" s="35"/>
      <c r="J371" s="35"/>
      <c r="K371" s="37"/>
    </row>
    <row r="372">
      <c r="A372" s="35" t="s">
        <v>45</v>
      </c>
      <c r="B372" s="34" t="s">
        <v>45</v>
      </c>
      <c r="C372" s="35" t="s">
        <v>45</v>
      </c>
      <c r="D372" s="35" t="s">
        <v>45</v>
      </c>
      <c r="E372" s="34" t="s">
        <v>45</v>
      </c>
      <c r="F372" s="35" t="n">
        <v>1.0</v>
      </c>
      <c r="G372" s="34" t="s">
        <v>214</v>
      </c>
      <c r="H372" s="34" t="s">
        <v>45</v>
      </c>
      <c r="I372" s="35"/>
      <c r="J372" s="35"/>
      <c r="K372" s="37"/>
    </row>
    <row r="373">
      <c r="A373" s="35" t="s">
        <v>45</v>
      </c>
      <c r="B373" s="34" t="s">
        <v>45</v>
      </c>
      <c r="C373" s="35" t="s">
        <v>45</v>
      </c>
      <c r="D373" s="35" t="s">
        <v>45</v>
      </c>
      <c r="E373" s="34" t="s">
        <v>45</v>
      </c>
      <c r="F373" s="35" t="n">
        <v>2.0</v>
      </c>
      <c r="G373" s="34" t="s">
        <v>215</v>
      </c>
      <c r="H373" s="34" t="s">
        <v>45</v>
      </c>
      <c r="I373" s="35"/>
      <c r="J373" s="35"/>
      <c r="K373" s="37"/>
    </row>
    <row r="374">
      <c r="A374" s="35" t="s">
        <v>45</v>
      </c>
      <c r="B374" s="34" t="s">
        <v>45</v>
      </c>
      <c r="C374" s="35" t="s">
        <v>45</v>
      </c>
      <c r="D374" s="35" t="s">
        <v>45</v>
      </c>
      <c r="E374" s="34" t="s">
        <v>45</v>
      </c>
      <c r="F374" s="35" t="n">
        <v>3.0</v>
      </c>
      <c r="G374" s="34" t="s">
        <v>216</v>
      </c>
      <c r="H374" s="34" t="s">
        <v>45</v>
      </c>
      <c r="I374" s="35"/>
      <c r="J374" s="35"/>
      <c r="K374" s="37"/>
    </row>
    <row r="375">
      <c r="A375" s="35" t="s">
        <v>468</v>
      </c>
      <c r="B375" s="34" t="s">
        <v>469</v>
      </c>
      <c r="C375" s="35" t="s">
        <v>391</v>
      </c>
      <c r="D375" s="34" t="s">
        <v>45</v>
      </c>
      <c r="E375" s="34" t="s">
        <v>45</v>
      </c>
      <c r="F375" s="34" t="s">
        <v>45</v>
      </c>
      <c r="G375" s="34" t="s">
        <v>45</v>
      </c>
      <c r="H375" s="34" t="s">
        <v>45</v>
      </c>
      <c r="I375" s="34" t="s">
        <v>45</v>
      </c>
      <c r="J375" s="34" t="s">
        <v>45</v>
      </c>
      <c r="K375" s="34" t="s">
        <v>45</v>
      </c>
    </row>
    <row r="376">
      <c r="A376" s="35" t="s">
        <v>45</v>
      </c>
      <c r="B376" s="34" t="s">
        <v>45</v>
      </c>
      <c r="C376" s="35" t="s">
        <v>45</v>
      </c>
      <c r="D376" s="35" t="s">
        <v>83</v>
      </c>
      <c r="E376" s="34" t="s">
        <v>145</v>
      </c>
      <c r="F376" s="35" t="s">
        <v>45</v>
      </c>
      <c r="G376" s="34" t="s">
        <v>470</v>
      </c>
      <c r="H376" s="34" t="s">
        <v>45</v>
      </c>
      <c r="I376" s="35" t="n">
        <v>5.0</v>
      </c>
      <c r="J376" s="35"/>
      <c r="K376" s="37" t="n">
        <v>0.25</v>
      </c>
    </row>
    <row r="377">
      <c r="A377" s="35" t="s">
        <v>45</v>
      </c>
      <c r="B377" s="34" t="s">
        <v>45</v>
      </c>
      <c r="C377" s="35" t="s">
        <v>45</v>
      </c>
      <c r="D377" s="35" t="s">
        <v>83</v>
      </c>
      <c r="E377" s="34" t="s">
        <v>471</v>
      </c>
      <c r="F377" s="35" t="s">
        <v>45</v>
      </c>
      <c r="G377" s="34" t="s">
        <v>472</v>
      </c>
      <c r="H377" s="34" t="s">
        <v>45</v>
      </c>
      <c r="I377" s="35" t="n">
        <v>3.0</v>
      </c>
      <c r="J377" s="35"/>
      <c r="K377" s="37" t="n">
        <v>0.25</v>
      </c>
    </row>
    <row r="378">
      <c r="A378" s="35" t="s">
        <v>473</v>
      </c>
      <c r="B378" s="34" t="s">
        <v>474</v>
      </c>
      <c r="C378" s="35" t="s">
        <v>391</v>
      </c>
      <c r="D378" s="34" t="s">
        <v>45</v>
      </c>
      <c r="E378" s="34" t="s">
        <v>45</v>
      </c>
      <c r="F378" s="34" t="s">
        <v>45</v>
      </c>
      <c r="G378" s="34" t="s">
        <v>45</v>
      </c>
      <c r="H378" s="34" t="s">
        <v>45</v>
      </c>
      <c r="I378" s="34" t="s">
        <v>45</v>
      </c>
      <c r="J378" s="34" t="s">
        <v>45</v>
      </c>
      <c r="K378" s="34" t="s">
        <v>45</v>
      </c>
    </row>
    <row r="379">
      <c r="A379" s="35" t="s">
        <v>45</v>
      </c>
      <c r="B379" s="34" t="s">
        <v>45</v>
      </c>
      <c r="C379" s="35" t="s">
        <v>45</v>
      </c>
      <c r="D379" s="35" t="s">
        <v>83</v>
      </c>
      <c r="E379" s="34" t="s">
        <v>475</v>
      </c>
      <c r="F379" s="35" t="s">
        <v>45</v>
      </c>
      <c r="G379" s="34" t="s">
        <v>476</v>
      </c>
      <c r="H379" s="34" t="s">
        <v>45</v>
      </c>
      <c r="I379" s="35" t="n">
        <v>5.0</v>
      </c>
      <c r="J379" s="35"/>
      <c r="K379" s="37" t="n">
        <v>0.75</v>
      </c>
    </row>
    <row r="380">
      <c r="A380" s="35" t="s">
        <v>45</v>
      </c>
      <c r="B380" s="34" t="s">
        <v>45</v>
      </c>
      <c r="C380" s="35" t="s">
        <v>45</v>
      </c>
      <c r="D380" s="35" t="s">
        <v>83</v>
      </c>
      <c r="E380" s="34" t="s">
        <v>477</v>
      </c>
      <c r="F380" s="35" t="s">
        <v>45</v>
      </c>
      <c r="G380" s="34" t="s">
        <v>478</v>
      </c>
      <c r="H380" s="34" t="s">
        <v>45</v>
      </c>
      <c r="I380" s="35" t="n">
        <v>5.0</v>
      </c>
      <c r="J380" s="35"/>
      <c r="K380" s="37" t="n">
        <v>0.5</v>
      </c>
    </row>
    <row r="381">
      <c r="A381" s="35" t="s">
        <v>45</v>
      </c>
      <c r="B381" s="34" t="s">
        <v>45</v>
      </c>
      <c r="C381" s="35" t="s">
        <v>45</v>
      </c>
      <c r="D381" s="35" t="s">
        <v>83</v>
      </c>
      <c r="E381" s="34" t="s">
        <v>479</v>
      </c>
      <c r="F381" s="35" t="s">
        <v>45</v>
      </c>
      <c r="G381" s="34" t="s">
        <v>480</v>
      </c>
      <c r="H381" s="34" t="s">
        <v>45</v>
      </c>
      <c r="I381" s="35" t="n">
        <v>5.0</v>
      </c>
      <c r="J381" s="35"/>
      <c r="K381" s="37" t="n">
        <v>0.35</v>
      </c>
    </row>
    <row r="382">
      <c r="A382" s="35" t="s">
        <v>45</v>
      </c>
      <c r="B382" s="34" t="s">
        <v>45</v>
      </c>
      <c r="C382" s="35" t="s">
        <v>45</v>
      </c>
      <c r="D382" s="35" t="s">
        <v>83</v>
      </c>
      <c r="E382" s="34" t="s">
        <v>481</v>
      </c>
      <c r="F382" s="35" t="s">
        <v>45</v>
      </c>
      <c r="G382" s="34" t="s">
        <v>482</v>
      </c>
      <c r="H382" s="34" t="s">
        <v>45</v>
      </c>
      <c r="I382" s="35" t="n">
        <v>5.0</v>
      </c>
      <c r="J382" s="35"/>
      <c r="K382" s="37" t="n">
        <v>0.35</v>
      </c>
    </row>
    <row r="383">
      <c r="A383" s="35" t="s">
        <v>483</v>
      </c>
      <c r="B383" s="34" t="s">
        <v>484</v>
      </c>
      <c r="C383" s="35" t="s">
        <v>391</v>
      </c>
      <c r="D383" s="34" t="s">
        <v>45</v>
      </c>
      <c r="E383" s="34" t="s">
        <v>45</v>
      </c>
      <c r="F383" s="34" t="s">
        <v>45</v>
      </c>
      <c r="G383" s="34" t="s">
        <v>45</v>
      </c>
      <c r="H383" s="34" t="s">
        <v>45</v>
      </c>
      <c r="I383" s="34" t="s">
        <v>45</v>
      </c>
      <c r="J383" s="34" t="s">
        <v>45</v>
      </c>
      <c r="K383" s="34" t="s">
        <v>45</v>
      </c>
    </row>
    <row r="384">
      <c r="A384" s="35" t="s">
        <v>45</v>
      </c>
      <c r="B384" s="34" t="s">
        <v>45</v>
      </c>
      <c r="C384" s="35" t="s">
        <v>45</v>
      </c>
      <c r="D384" s="35" t="s">
        <v>83</v>
      </c>
      <c r="E384" s="34" t="s">
        <v>485</v>
      </c>
      <c r="F384" s="35" t="s">
        <v>45</v>
      </c>
      <c r="G384" s="34" t="s">
        <v>486</v>
      </c>
      <c r="H384" s="34" t="s">
        <v>45</v>
      </c>
      <c r="I384" s="35" t="n">
        <v>5.0</v>
      </c>
      <c r="J384" s="35"/>
      <c r="K384" s="37" t="n">
        <v>0.3</v>
      </c>
    </row>
    <row r="385">
      <c r="A385" s="35" t="s">
        <v>45</v>
      </c>
      <c r="B385" s="34" t="s">
        <v>45</v>
      </c>
      <c r="C385" s="35" t="s">
        <v>45</v>
      </c>
      <c r="D385" s="35" t="s">
        <v>83</v>
      </c>
      <c r="E385" s="34" t="s">
        <v>308</v>
      </c>
      <c r="F385" s="35" t="s">
        <v>45</v>
      </c>
      <c r="G385" s="34" t="s">
        <v>176</v>
      </c>
      <c r="H385" s="34" t="s">
        <v>45</v>
      </c>
      <c r="I385" s="35" t="n">
        <v>5.0</v>
      </c>
      <c r="J385" s="35"/>
      <c r="K385" s="37" t="n">
        <v>0.25</v>
      </c>
    </row>
    <row r="386">
      <c r="A386" s="35" t="s">
        <v>45</v>
      </c>
      <c r="B386" s="34" t="s">
        <v>45</v>
      </c>
      <c r="C386" s="35" t="s">
        <v>45</v>
      </c>
      <c r="D386" s="35" t="s">
        <v>83</v>
      </c>
      <c r="E386" s="34" t="s">
        <v>487</v>
      </c>
      <c r="F386" s="35" t="s">
        <v>45</v>
      </c>
      <c r="G386" s="34" t="s">
        <v>488</v>
      </c>
      <c r="H386" s="34" t="s">
        <v>45</v>
      </c>
      <c r="I386" s="35" t="n">
        <v>5.0</v>
      </c>
      <c r="J386" s="35"/>
      <c r="K386" s="37" t="n">
        <v>0.25</v>
      </c>
    </row>
    <row r="387">
      <c r="A387" s="35" t="s">
        <v>45</v>
      </c>
      <c r="B387" s="34" t="s">
        <v>45</v>
      </c>
      <c r="C387" s="35" t="s">
        <v>45</v>
      </c>
      <c r="D387" s="35" t="s">
        <v>83</v>
      </c>
      <c r="E387" s="34" t="s">
        <v>489</v>
      </c>
      <c r="F387" s="35" t="s">
        <v>45</v>
      </c>
      <c r="G387" s="34" t="s">
        <v>490</v>
      </c>
      <c r="H387" s="34" t="s">
        <v>45</v>
      </c>
      <c r="I387" s="35" t="n">
        <v>1.0</v>
      </c>
      <c r="J387" s="35"/>
      <c r="K387" s="37" t="n">
        <v>0.25</v>
      </c>
    </row>
    <row r="388">
      <c r="A388" s="35" t="s">
        <v>45</v>
      </c>
      <c r="B388" s="34" t="s">
        <v>45</v>
      </c>
      <c r="C388" s="35" t="s">
        <v>45</v>
      </c>
      <c r="D388" s="35" t="s">
        <v>83</v>
      </c>
      <c r="E388" s="34" t="s">
        <v>197</v>
      </c>
      <c r="F388" s="35" t="s">
        <v>45</v>
      </c>
      <c r="G388" s="34" t="s">
        <v>491</v>
      </c>
      <c r="H388" s="34" t="s">
        <v>45</v>
      </c>
      <c r="I388" s="35" t="n">
        <v>5.0</v>
      </c>
      <c r="J388" s="35"/>
      <c r="K388" s="37" t="n">
        <v>0.5</v>
      </c>
    </row>
    <row r="389">
      <c r="A389" s="35" t="s">
        <v>45</v>
      </c>
      <c r="B389" s="34" t="s">
        <v>45</v>
      </c>
      <c r="C389" s="35" t="s">
        <v>45</v>
      </c>
      <c r="D389" s="35" t="s">
        <v>45</v>
      </c>
      <c r="E389" s="34" t="s">
        <v>45</v>
      </c>
      <c r="F389" s="35" t="s">
        <v>45</v>
      </c>
      <c r="G389" s="34" t="s">
        <v>45</v>
      </c>
      <c r="H389" s="34" t="s">
        <v>45</v>
      </c>
      <c r="I389" s="35"/>
      <c r="J389" s="35"/>
      <c r="K389" s="37"/>
    </row>
    <row r="390">
      <c r="A390" s="35" t="s">
        <v>45</v>
      </c>
      <c r="B390" s="34" t="s">
        <v>45</v>
      </c>
      <c r="C390" s="35" t="s">
        <v>45</v>
      </c>
      <c r="D390" s="35" t="s">
        <v>45</v>
      </c>
      <c r="E390" s="34" t="s">
        <v>45</v>
      </c>
      <c r="F390" s="35" t="s">
        <v>45</v>
      </c>
      <c r="G390" s="34" t="s">
        <v>45</v>
      </c>
      <c r="H390" s="34" t="s">
        <v>45</v>
      </c>
      <c r="I390" s="35"/>
      <c r="J390" s="35"/>
      <c r="K390" s="37"/>
    </row>
    <row r="391">
      <c r="A391" s="86" t="s">
        <v>15</v>
      </c>
      <c r="B391" s="87" t="s">
        <v>16</v>
      </c>
      <c r="C391" s="88" t="s">
        <v>10</v>
      </c>
      <c r="D391" s="89" t="s">
        <v>6</v>
      </c>
      <c r="E391" s="90" t="s">
        <v>1</v>
      </c>
      <c r="F391" s="91" t="s">
        <v>2</v>
      </c>
      <c r="G391" s="92" t="s">
        <v>8</v>
      </c>
      <c r="H391" s="93" t="s">
        <v>9</v>
      </c>
      <c r="I391" s="94" t="s">
        <v>23</v>
      </c>
      <c r="J391" s="95" t="s">
        <v>11</v>
      </c>
      <c r="K391" s="96" t="s">
        <v>3</v>
      </c>
      <c r="L391" s="97" t="s">
        <v>492</v>
      </c>
      <c r="M391" s="98" t="s">
        <v>4</v>
      </c>
      <c r="N391" s="99">
        <f>SUM(K392:K393)</f>
      </c>
    </row>
    <row r="392">
      <c r="A392" s="35" t="s">
        <v>45</v>
      </c>
      <c r="B392" s="34" t="s">
        <v>45</v>
      </c>
      <c r="C392" s="35" t="s">
        <v>45</v>
      </c>
      <c r="D392" s="35" t="s">
        <v>45</v>
      </c>
      <c r="E392" s="34" t="s">
        <v>45</v>
      </c>
      <c r="F392" s="35" t="s">
        <v>45</v>
      </c>
      <c r="G392" s="34" t="s">
        <v>45</v>
      </c>
      <c r="H392" s="34" t="s">
        <v>45</v>
      </c>
      <c r="I392" s="35"/>
      <c r="J392" s="35"/>
      <c r="K392" s="37"/>
    </row>
    <row r="393">
      <c r="A393" s="35" t="s">
        <v>45</v>
      </c>
      <c r="B393" s="34" t="s">
        <v>45</v>
      </c>
      <c r="C393" s="35" t="s">
        <v>45</v>
      </c>
      <c r="D393" s="35" t="s">
        <v>45</v>
      </c>
      <c r="E393" s="34" t="s">
        <v>45</v>
      </c>
      <c r="F393" s="35" t="s">
        <v>45</v>
      </c>
      <c r="G393" s="34" t="s">
        <v>45</v>
      </c>
      <c r="H393" s="34" t="s">
        <v>45</v>
      </c>
      <c r="I393" s="35"/>
      <c r="J393" s="35"/>
      <c r="K393" s="37"/>
    </row>
    <row r="394">
      <c r="A394" s="100" t="s">
        <v>15</v>
      </c>
      <c r="B394" s="101" t="s">
        <v>16</v>
      </c>
      <c r="C394" s="102" t="s">
        <v>10</v>
      </c>
      <c r="D394" s="103" t="s">
        <v>6</v>
      </c>
      <c r="E394" s="104" t="s">
        <v>1</v>
      </c>
      <c r="F394" s="105" t="s">
        <v>2</v>
      </c>
      <c r="G394" s="106" t="s">
        <v>8</v>
      </c>
      <c r="H394" s="107" t="s">
        <v>9</v>
      </c>
      <c r="I394" s="108" t="s">
        <v>23</v>
      </c>
      <c r="J394" s="109" t="s">
        <v>11</v>
      </c>
      <c r="K394" s="110" t="s">
        <v>3</v>
      </c>
      <c r="L394" s="111" t="s">
        <v>493</v>
      </c>
      <c r="M394" s="112" t="s">
        <v>4</v>
      </c>
      <c r="N394" s="113">
        <f>SUM(K395:K396)</f>
      </c>
    </row>
    <row r="395">
      <c r="A395" s="35" t="s">
        <v>45</v>
      </c>
      <c r="B395" s="34" t="s">
        <v>45</v>
      </c>
      <c r="C395" s="35" t="s">
        <v>45</v>
      </c>
      <c r="D395" s="35" t="s">
        <v>45</v>
      </c>
      <c r="E395" s="34" t="s">
        <v>45</v>
      </c>
      <c r="F395" s="35" t="s">
        <v>45</v>
      </c>
      <c r="G395" s="34" t="s">
        <v>45</v>
      </c>
      <c r="H395" s="34" t="s">
        <v>45</v>
      </c>
      <c r="I395" s="35"/>
      <c r="J395" s="35"/>
      <c r="K395" s="37"/>
    </row>
    <row r="396">
      <c r="A396" s="35" t="s">
        <v>45</v>
      </c>
      <c r="B396" s="34" t="s">
        <v>45</v>
      </c>
      <c r="C396" s="35" t="s">
        <v>45</v>
      </c>
      <c r="D396" s="35" t="s">
        <v>45</v>
      </c>
      <c r="E396" s="34" t="s">
        <v>45</v>
      </c>
      <c r="F396" s="35" t="s">
        <v>45</v>
      </c>
      <c r="G396" s="34" t="s">
        <v>45</v>
      </c>
      <c r="H396" s="34" t="s">
        <v>45</v>
      </c>
      <c r="I396" s="35"/>
      <c r="J396" s="35"/>
      <c r="K396" s="37"/>
    </row>
    <row r="397">
      <c r="A397" s="114" t="s">
        <v>15</v>
      </c>
      <c r="B397" s="115" t="s">
        <v>16</v>
      </c>
      <c r="C397" s="116" t="s">
        <v>10</v>
      </c>
      <c r="D397" s="117" t="s">
        <v>6</v>
      </c>
      <c r="E397" s="118" t="s">
        <v>1</v>
      </c>
      <c r="F397" s="119" t="s">
        <v>2</v>
      </c>
      <c r="G397" s="120" t="s">
        <v>8</v>
      </c>
      <c r="H397" s="121" t="s">
        <v>9</v>
      </c>
      <c r="I397" s="122" t="s">
        <v>23</v>
      </c>
      <c r="J397" s="123" t="s">
        <v>11</v>
      </c>
      <c r="K397" s="124" t="s">
        <v>3</v>
      </c>
      <c r="L397" s="125" t="s">
        <v>494</v>
      </c>
      <c r="M397" s="126" t="s">
        <v>4</v>
      </c>
      <c r="N397" s="127">
        <f>SUM(K398:K399)</f>
      </c>
    </row>
    <row r="398">
      <c r="A398" s="35" t="s">
        <v>45</v>
      </c>
      <c r="B398" s="34" t="s">
        <v>45</v>
      </c>
      <c r="C398" s="35" t="s">
        <v>45</v>
      </c>
      <c r="D398" s="35" t="s">
        <v>45</v>
      </c>
      <c r="E398" s="34" t="s">
        <v>45</v>
      </c>
      <c r="F398" s="35" t="s">
        <v>45</v>
      </c>
      <c r="G398" s="34" t="s">
        <v>45</v>
      </c>
      <c r="H398" s="34" t="s">
        <v>45</v>
      </c>
      <c r="I398" s="35"/>
      <c r="J398" s="35"/>
      <c r="K398" s="37"/>
    </row>
    <row r="399">
      <c r="A399" s="35" t="s">
        <v>45</v>
      </c>
      <c r="B399" s="34" t="s">
        <v>45</v>
      </c>
      <c r="C399" s="35" t="s">
        <v>45</v>
      </c>
      <c r="D399" s="35" t="s">
        <v>45</v>
      </c>
      <c r="E399" s="34" t="s">
        <v>45</v>
      </c>
      <c r="F399" s="35" t="s">
        <v>45</v>
      </c>
      <c r="G399" s="34" t="s">
        <v>45</v>
      </c>
      <c r="H399" s="34" t="s">
        <v>45</v>
      </c>
      <c r="I399" s="35"/>
      <c r="J399" s="35"/>
      <c r="K399" s="37"/>
    </row>
    <row r="400">
      <c r="A400" s="128" t="s">
        <v>15</v>
      </c>
      <c r="B400" s="129" t="s">
        <v>16</v>
      </c>
      <c r="C400" s="130" t="s">
        <v>10</v>
      </c>
      <c r="D400" s="131" t="s">
        <v>6</v>
      </c>
      <c r="E400" s="132" t="s">
        <v>1</v>
      </c>
      <c r="F400" s="133" t="s">
        <v>2</v>
      </c>
      <c r="G400" s="134" t="s">
        <v>8</v>
      </c>
      <c r="H400" s="135" t="s">
        <v>9</v>
      </c>
      <c r="I400" s="136" t="s">
        <v>23</v>
      </c>
      <c r="J400" s="137" t="s">
        <v>11</v>
      </c>
      <c r="K400" s="138" t="s">
        <v>3</v>
      </c>
      <c r="L400" s="139" t="s">
        <v>495</v>
      </c>
      <c r="M400" s="140" t="s">
        <v>4</v>
      </c>
      <c r="N400" s="141">
        <f>SUM(K401:K402)</f>
      </c>
    </row>
    <row r="401">
      <c r="A401" s="35" t="s">
        <v>45</v>
      </c>
      <c r="B401" s="34" t="s">
        <v>45</v>
      </c>
      <c r="C401" s="35" t="s">
        <v>45</v>
      </c>
      <c r="D401" s="35" t="s">
        <v>45</v>
      </c>
      <c r="E401" s="34" t="s">
        <v>45</v>
      </c>
      <c r="F401" s="35" t="s">
        <v>45</v>
      </c>
      <c r="G401" s="34" t="s">
        <v>45</v>
      </c>
      <c r="H401" s="34" t="s">
        <v>45</v>
      </c>
      <c r="I401" s="35"/>
      <c r="J401" s="35"/>
      <c r="K401" s="37"/>
    </row>
    <row r="402">
      <c r="A402" s="35" t="s">
        <v>45</v>
      </c>
      <c r="B402" s="34" t="s">
        <v>45</v>
      </c>
      <c r="C402" s="35" t="s">
        <v>45</v>
      </c>
      <c r="D402" s="35" t="s">
        <v>45</v>
      </c>
      <c r="E402" s="34" t="s">
        <v>45</v>
      </c>
      <c r="F402" s="35" t="s">
        <v>45</v>
      </c>
      <c r="G402" s="34" t="s">
        <v>45</v>
      </c>
      <c r="H402" s="34" t="s">
        <v>45</v>
      </c>
      <c r="I402" s="35"/>
      <c r="J402" s="35"/>
      <c r="K402" s="37"/>
    </row>
    <row r="403">
      <c r="A403" s="142" t="s">
        <v>15</v>
      </c>
      <c r="B403" s="143" t="s">
        <v>16</v>
      </c>
      <c r="C403" s="144" t="s">
        <v>10</v>
      </c>
      <c r="D403" s="145" t="s">
        <v>6</v>
      </c>
      <c r="E403" s="146" t="s">
        <v>1</v>
      </c>
      <c r="F403" s="147" t="s">
        <v>2</v>
      </c>
      <c r="G403" s="148" t="s">
        <v>8</v>
      </c>
      <c r="H403" s="149" t="s">
        <v>9</v>
      </c>
      <c r="I403" s="150" t="s">
        <v>23</v>
      </c>
      <c r="J403" s="151" t="s">
        <v>11</v>
      </c>
      <c r="K403" s="152" t="s">
        <v>3</v>
      </c>
      <c r="L403" s="153" t="s">
        <v>496</v>
      </c>
      <c r="M403" s="154" t="s">
        <v>4</v>
      </c>
      <c r="N403" s="155">
        <f>SUM(K404:K405)</f>
      </c>
    </row>
    <row r="404">
      <c r="A404" s="35" t="s">
        <v>45</v>
      </c>
      <c r="B404" s="34" t="s">
        <v>45</v>
      </c>
      <c r="C404" s="35" t="s">
        <v>45</v>
      </c>
      <c r="D404" s="35" t="s">
        <v>45</v>
      </c>
      <c r="E404" s="34" t="s">
        <v>45</v>
      </c>
      <c r="F404" s="35" t="s">
        <v>45</v>
      </c>
      <c r="G404" s="34" t="s">
        <v>45</v>
      </c>
      <c r="H404" s="34" t="s">
        <v>45</v>
      </c>
      <c r="I404" s="35"/>
      <c r="J404" s="35"/>
      <c r="K404" s="37"/>
    </row>
    <row r="405">
      <c r="A405" s="38" t="s">
        <v>45</v>
      </c>
      <c r="B405" s="38" t="s">
        <v>45</v>
      </c>
      <c r="C405" s="38" t="s">
        <v>45</v>
      </c>
      <c r="D405" s="38" t="s">
        <v>45</v>
      </c>
      <c r="E405" s="38" t="s">
        <v>45</v>
      </c>
      <c r="F405" s="38" t="s">
        <v>45</v>
      </c>
      <c r="G405" s="38" t="s">
        <v>45</v>
      </c>
      <c r="H405" s="38" t="s">
        <v>45</v>
      </c>
      <c r="I405" s="38" t="s">
        <v>45</v>
      </c>
      <c r="J405" s="38" t="s">
        <v>45</v>
      </c>
      <c r="K405" s="38" t="s">
        <v>45</v>
      </c>
    </row>
    <row r="408" spans="1:14" ht="42" x14ac:dyDescent="0.15">
      <c r="L408" s="5" t="s">
        <v>5</v>
      </c>
      <c r="M408" s="6" t="s">
        <v>4</v>
      </c>
      <c r="N408" s="7">
        <f>SUM(N1:N406)</f>
      </c>
    </row>
  </sheetData>
  <mergeCells count="35">
    <mergeCell ref="B4:H4"/>
    <mergeCell ref="A3:K3"/>
    <mergeCell ref="A1:K1"/>
    <mergeCell ref="B5:H5"/>
    <mergeCell ref="B6:H6"/>
    <mergeCell ref="B7:H7"/>
    <mergeCell ref="B8:H8"/>
    <mergeCell ref="A13:K13"/>
    <mergeCell ref="B14:J14"/>
    <mergeCell ref="I10:J10"/>
    <mergeCell ref="B9:H9"/>
    <mergeCell ref="B15:J15"/>
    <mergeCell ref="B16:J16"/>
    <mergeCell ref="B17:J17"/>
    <mergeCell ref="B18:J18"/>
    <mergeCell ref="B19:J19"/>
    <mergeCell ref="B20:J20"/>
    <mergeCell ref="B21:J21"/>
    <mergeCell ref="B22:J22"/>
    <mergeCell ref="B23:J23"/>
  </mergeCells>
  <phoneticPr fontId="1" type="noConversion"/>
  <pageMargins left="0.39000000000000007" right="0.39000000000000007" top="0.87" bottom="0.59" header="0.2" footer="0.2"/>
  <pageSetup paperSize="9" orientation="landscape" r:id="rId1"/>
  <headerFooter>
    <oddHeader>&amp;R&amp;G</oddHeader>
    <oddFooter><![CDATA[&L&8Sheet: &A
File: &F&C&8Version: 
Date: &R&8&P of &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ColWidth="8.83203125" defaultRowHeight="13" x14ac:dyDescent="0.15"/>
  <cols>
    <col min="1" max="1" customWidth="true" style="1" width="21.33203125"/>
    <col min="2" max="2" customWidth="true" style="1" width="28.6640625"/>
    <col min="3" max="3" customWidth="true" style="1" width="7.1640625"/>
    <col min="4" max="4" customWidth="true" style="1" width="69.5"/>
    <col min="5" max="16384" style="1" width="8.83203125"/>
  </cols>
  <sheetData/>
  <pageMargins left="0.39000000000000007" right="0.39000000000000007" top="0.87" bottom="0.59" header="0.2" footer="0.2"/>
  <pageSetup paperSize="9" orientation="landscape" r:id="rId1"/>
  <headerFooter>
    <oddHeader>&amp;R&amp;G</oddHeader>
    <oddFooter><![CDATA[&L&8Sheet: &A
File: &F&C&8Version: 
Date: &R&8&P of &N]]></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CIS Marking Scheme Import</vt:lpstr>
      <vt:lpstr>Calculations</vt:lpstr>
    </vt:vector>
  </TitlesOfParts>
  <Company>WorldSkills International Secretariat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2010-04-27T04:25:00Z</dcterms:created>
  <dc:creator>Adam Walsh</dc:creator>
  <cp:lastModifiedBy>Microsoft Office User</cp:lastModifiedBy>
  <cp:lastPrinted>2010-04-28T04:08:36Z</cp:lastPrinted>
  <dcterms:modified xsi:type="dcterms:W3CDTF">2022-03-24T02:45:09Z</dcterms:modified>
</cp:coreProperties>
</file>