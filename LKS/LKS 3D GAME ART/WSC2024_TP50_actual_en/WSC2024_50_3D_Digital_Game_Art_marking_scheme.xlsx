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autoCompressPictures="0"/>
  <mc:AlternateContent>
    <mc:Choice Requires="x15">
      <x15ac:absPath xmlns:x15ac="http://schemas.microsoft.com/office/spreadsheetml/2010/11/ac" url="/Users/adam/git/CIS/src/main/resources/org/worldskills/cis/service/skill/"/>
    </mc:Choice>
  </mc:AlternateContent>
  <xr:revisionPtr revIDLastSave="0" documentId="13_ncr:1_{9CE4662E-C534-7A48-8AC9-72D297A8977A}" xr6:coauthVersionLast="47" xr6:coauthVersionMax="47" xr10:uidLastSave="{00000000-0000-0000-0000-000000000000}"/>
  <bookViews>
    <workbookView xWindow="15580" yWindow="-26720" windowWidth="28040" windowHeight="1744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<sst xmlns="http://schemas.openxmlformats.org/spreadsheetml/2006/main" count="2234" uniqueCount="366">
  <si>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</si>
  <si>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</si>
  <si>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</si>
  <si>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</si>
  <si>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</si>
  <si>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</si>
  <si>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</si>
  <si>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</si>
  <si>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</si>
  <si>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</si>
  <si>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</si>
  <si>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</si>
  <si>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</si>
  <si>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</si>
  <si>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</si>
  <si>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</si>
  <si>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</si>
  <si>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</si>
  <si>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</si>
  <si>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</si>
  <si>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</si>
  <si>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</si>
  <si>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</si>
  <si>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</si>
  <si>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50 3D Digital Game Art</t>
  </si>
  <si>
    <t>Work Organization and Management</t>
  </si>
  <si>
    <t>Communication and Interpersonal Skills</t>
  </si>
  <si>
    <t>Concept Art</t>
  </si>
  <si>
    <t>3D Modelling</t>
  </si>
  <si>
    <t>UV Unwrapping</t>
  </si>
  <si>
    <t>Texturing</t>
  </si>
  <si>
    <t>Rigging and Animation</t>
  </si>
  <si>
    <t>Technical Art and Game Engine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</si>
  <si>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</si>
  <si>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</si>
  <si>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</si>
  <si>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</si>
  <si>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</si>
  <si>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</si>
  <si>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</si>
  <si>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</si>
  <si>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</si>
  <si>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A1</t>
  </si>
  <si>
    <t/>
  </si>
  <si>
    <t>1</t>
  </si>
  <si>
    <t>M</t>
  </si>
  <si>
    <t>Submit the concept art on time</t>
  </si>
  <si>
    <t>A digital file of concept art</t>
  </si>
  <si>
    <t>PSD tidiness</t>
  </si>
  <si>
    <t>There are named layers and sensible folder structure</t>
  </si>
  <si>
    <t>A2</t>
  </si>
  <si>
    <t>Asset List</t>
  </si>
  <si>
    <t>An asset list is created</t>
  </si>
  <si>
    <t>An asset list should be digitally created</t>
  </si>
  <si>
    <t>Asset list includes polygon budgets and texture sizes</t>
  </si>
  <si>
    <t>Asset list includes both polygon budgets and texture sizes</t>
  </si>
  <si>
    <t>A3</t>
  </si>
  <si>
    <t>2</t>
  </si>
  <si>
    <t>All folder names conform to the specs</t>
  </si>
  <si>
    <t>Folders named according to specifications</t>
  </si>
  <si>
    <t>All filenames conform to the specs</t>
  </si>
  <si>
    <t>Files named according to specifications</t>
  </si>
  <si>
    <t>A4</t>
  </si>
  <si>
    <t>3</t>
  </si>
  <si>
    <t>Correct texture sheet sizes</t>
  </si>
  <si>
    <t>Texture maps follows size specs</t>
  </si>
  <si>
    <t>Correct texture file format</t>
  </si>
  <si>
    <t>.TGA</t>
  </si>
  <si>
    <t>A5</t>
  </si>
  <si>
    <t>4</t>
  </si>
  <si>
    <t>Submit the Game Engine project on time</t>
  </si>
  <si>
    <t>Unreal/Unity3D project file</t>
  </si>
  <si>
    <t>Criterion B</t>
  </si>
  <si>
    <t>B1</t>
  </si>
  <si>
    <t>Work Log (Create and Update): C1</t>
  </si>
  <si>
    <t>Work Log is created</t>
  </si>
  <si>
    <t>Work Log created</t>
  </si>
  <si>
    <t>Work Log is updated with progress of tasks</t>
  </si>
  <si>
    <t>Work Log shows a list and progress of concept and sculpting tasks</t>
  </si>
  <si>
    <t>B2</t>
  </si>
  <si>
    <t>Modify and adapt concept art</t>
  </si>
  <si>
    <t>Modification completed</t>
  </si>
  <si>
    <t>B4</t>
  </si>
  <si>
    <t>Work Log (Updates): C2</t>
  </si>
  <si>
    <t>Work Log shows a list and progress of modelling tasks</t>
  </si>
  <si>
    <t>B5</t>
  </si>
  <si>
    <t>Work Log (Updates): C3</t>
  </si>
  <si>
    <t>Work Log shows a list and progress of texturing tasks</t>
  </si>
  <si>
    <t>B6</t>
  </si>
  <si>
    <t>Textures are modified</t>
  </si>
  <si>
    <t>Texture change requests are successfully completed</t>
  </si>
  <si>
    <t>B7</t>
  </si>
  <si>
    <t>Work Log (Updates): C4</t>
  </si>
  <si>
    <t>Work Log shows a list and progress of animation and game engine tasks</t>
  </si>
  <si>
    <t>B8</t>
  </si>
  <si>
    <t>All 3D assets have been integrated successfully in the game and game demo is playable</t>
  </si>
  <si>
    <t>Playable demo</t>
  </si>
  <si>
    <t>Criterion C</t>
  </si>
  <si>
    <t>C1</t>
  </si>
  <si>
    <t>Concept Art 1</t>
  </si>
  <si>
    <t>Design of Model Sheet and Final Render matches</t>
  </si>
  <si>
    <t>Compare Model Sheet and Final Render</t>
  </si>
  <si>
    <t>Model Sheet: Indication to demonstrate the size/measurement/scaling of the design</t>
  </si>
  <si>
    <t>Uses measurements or human figure references</t>
  </si>
  <si>
    <t>Model Sheet: Use correct image size and aspect ratio</t>
  </si>
  <si>
    <t>Image uses the specified image size and aspect ratio, eg. 1920x1080 pixels and 16:9</t>
  </si>
  <si>
    <t>Model Sheet: Use correct PPI</t>
  </si>
  <si>
    <t>Image uses the specified PPI, eg. 300ppi etc</t>
  </si>
  <si>
    <t>Final Render: Use correct image size and aspect ratio</t>
  </si>
  <si>
    <t>Final Render: Use correct PPI</t>
  </si>
  <si>
    <t>Final Render: 3/4 view that demonstrates perspective</t>
  </si>
  <si>
    <t>Rendered design in 3/4 view and not in orthographic</t>
  </si>
  <si>
    <t>Final Render: Uses highlights</t>
  </si>
  <si>
    <t>Uses highlights to bring out the 3D form</t>
  </si>
  <si>
    <t>Final Render: Uses shadows</t>
  </si>
  <si>
    <t>Uses shadows to bring out the 3D form</t>
  </si>
  <si>
    <t>C2</t>
  </si>
  <si>
    <t>Concept Art 2</t>
  </si>
  <si>
    <t>J</t>
  </si>
  <si>
    <t>Final Render: The design features futuristic looking elements</t>
  </si>
  <si>
    <t>Completely lacks any futuristic characteristics.</t>
  </si>
  <si>
    <t>Includes a few elements that can be considered futuristic</t>
  </si>
  <si>
    <t>Clearly incorporates multiple elements that are futuristic</t>
  </si>
  <si>
    <t>Design is highly futuristic in its entirety</t>
  </si>
  <si>
    <t>Final Render: Colour - Colour harmony of the concept art</t>
  </si>
  <si>
    <t>Lacks a colour harmony resulting in a chaotic colour scheme</t>
  </si>
  <si>
    <t>A basic but recognisable colour harmony is present</t>
  </si>
  <si>
    <t>A refined colour harmony is present</t>
  </si>
  <si>
    <t>A refined colour harmony is present with attention to the proportions of colours used, enhancing overall visual impact</t>
  </si>
  <si>
    <t>Final Design: The final design matches the style references</t>
  </si>
  <si>
    <t>Design does not matches the style references</t>
  </si>
  <si>
    <t>Design somewhat matches the style references</t>
  </si>
  <si>
    <t>Design closely matches the style references</t>
  </si>
  <si>
    <t>Design perfectly matches the style references</t>
  </si>
  <si>
    <t>Final Design: Properties of physical materials (such as rubber, glass, metal etc) rendered in the final design can be identified visually</t>
  </si>
  <si>
    <t>No attempt to work on physical properties of materials</t>
  </si>
  <si>
    <t>Physical properties of materials cannot be identified</t>
  </si>
  <si>
    <t>Physical properties of materials can be clearly identified</t>
  </si>
  <si>
    <t>Physical properties of materials can be clearly identified and believable</t>
  </si>
  <si>
    <t>Creativity of proposed concept</t>
  </si>
  <si>
    <t>Proposed idea is not original at all</t>
  </si>
  <si>
    <t>Proposed idea has little originality</t>
  </si>
  <si>
    <t>Proposed idea is original and interesting</t>
  </si>
  <si>
    <t>Proposed idea is exceptionally unique and interesting</t>
  </si>
  <si>
    <t>Functionality of proposed concept</t>
  </si>
  <si>
    <t>Poor functionality or usability</t>
  </si>
  <si>
    <t>Some functional features are present</t>
  </si>
  <si>
    <t>Mostly functional with some minor considerations for usability</t>
  </si>
  <si>
    <t>Highly functional, with clear considerations for usability and application</t>
  </si>
  <si>
    <t>Criterion D</t>
  </si>
  <si>
    <t>D1</t>
  </si>
  <si>
    <t>3D Sculpting</t>
  </si>
  <si>
    <t>Sculpt model is created</t>
  </si>
  <si>
    <t>A finished sculpt model has been created</t>
  </si>
  <si>
    <t>Quality: The minor asset has a sculpt model containing intricate details</t>
  </si>
  <si>
    <t>No sculpt model</t>
  </si>
  <si>
    <t>Sculpt model has little or no details</t>
  </si>
  <si>
    <t>Sculpt model has good details but has inappropriate or uniform degree of details throughout</t>
  </si>
  <si>
    <t>Sculpt model has good details with good considerations of where details are appropriate and required</t>
  </si>
  <si>
    <t>D2</t>
  </si>
  <si>
    <t>3D Sculpting: Retopology</t>
  </si>
  <si>
    <t>Process: 3D sculpt model has been retopologised for low poly in max/maya to meet the triangle budget</t>
  </si>
  <si>
    <t>A detailed sculpt model retopologised</t>
  </si>
  <si>
    <t>Tris budget is not exceeded</t>
  </si>
  <si>
    <t>3D Object is within 90~100% of triangle budget</t>
  </si>
  <si>
    <t>No N-Gons</t>
  </si>
  <si>
    <t>mesh data is valid</t>
  </si>
  <si>
    <t>No inverted Normals</t>
  </si>
  <si>
    <t>No unwelded vertices</t>
  </si>
  <si>
    <t>No stray geometry</t>
  </si>
  <si>
    <t>Retopologised model maintains the form of the sculpt</t>
  </si>
  <si>
    <t>Fails to capture the form of the original sculpt</t>
  </si>
  <si>
    <t>Captures some essence of the sculpt, but not accurate</t>
  </si>
  <si>
    <t>Accurately represents the form of the sculpt</t>
  </si>
  <si>
    <t>Flawlessly captures the form of the sculpt</t>
  </si>
  <si>
    <t>D3</t>
  </si>
  <si>
    <t>3D Modelling 1</t>
  </si>
  <si>
    <t>Minor Asset integrated with Major Asset</t>
  </si>
  <si>
    <t>Integrate all 3D models together successfully</t>
  </si>
  <si>
    <t>Max/Maya scene organisation</t>
  </si>
  <si>
    <t>Final scene file removes irrelevant assets and references</t>
  </si>
  <si>
    <t>Mesh data is valid</t>
  </si>
  <si>
    <t>No inverted normals</t>
  </si>
  <si>
    <t>Areas that have more curvature and intricate details command more polygons</t>
  </si>
  <si>
    <t>Curve parts has more polygons</t>
  </si>
  <si>
    <t>Model's pivot are set correctly in the world coordinates</t>
  </si>
  <si>
    <t>Objects are positioned on 0,0,0, XYZ coordinates zeroed</t>
  </si>
  <si>
    <t>Models are set to real-world scale</t>
  </si>
  <si>
    <t>Objects are scaled to real-world size and freeze scale 1,1,1</t>
  </si>
  <si>
    <t>No modifiers on 3D Object</t>
  </si>
  <si>
    <t>Delete History</t>
  </si>
  <si>
    <t>3D Object is scaled to real world measurements</t>
  </si>
  <si>
    <t>Scaled correctly in 3D editor software's world space</t>
  </si>
  <si>
    <t>D4</t>
  </si>
  <si>
    <t>3D Modelling 2</t>
  </si>
  <si>
    <t>3D Asset resembles the concept design</t>
  </si>
  <si>
    <t>The asset does not resemble the concept design</t>
  </si>
  <si>
    <t>The asset closely resembles the concept design</t>
  </si>
  <si>
    <t>The asset conforms to the concept design</t>
  </si>
  <si>
    <t>The asset accentuates the concept design</t>
  </si>
  <si>
    <t>Quad Distribution - the asset's distribution of quads is equitable</t>
  </si>
  <si>
    <t>Inequitable use of polygons that fail to reduce quads on areas that need less</t>
  </si>
  <si>
    <t>The quad sizes are even across the whole model</t>
  </si>
  <si>
    <t>The quad sizes are even and areas needing more detail use more quads</t>
  </si>
  <si>
    <t>Equitable use of quads that reduce quads on areas that need less</t>
  </si>
  <si>
    <t>Majority of faces are quads with Tris strategically placed</t>
  </si>
  <si>
    <t>Tris are excessively used and prominently visible in areas where they are not needed</t>
  </si>
  <si>
    <t>Tris are used but still noticeable in key areas</t>
  </si>
  <si>
    <t>Tris are used sparingly and are strategically placed away from prominent areas</t>
  </si>
  <si>
    <t>Tris are expertly used, only where they serve a specific purpose or are necessary for the topology</t>
  </si>
  <si>
    <t>Edgeflow follows naturally to the 3D Object's form</t>
  </si>
  <si>
    <t>Edgeflow does not follow to the shape of the 3D Object</t>
  </si>
  <si>
    <t>Edgeflow follows the shape of the 3D Object but is disorganised</t>
  </si>
  <si>
    <t>Edgeflow follows the shape of the 3D Object</t>
  </si>
  <si>
    <t>Edgeflow follows the shape of the 3D Object and is well-organised</t>
  </si>
  <si>
    <t>Soft/Hard edges are purposefully utilised in defining features of the 3D Object</t>
  </si>
  <si>
    <t>No edges are appropriately set to soft or hard/or this aspect is overlooked</t>
  </si>
  <si>
    <t>Soft/Hard edges are marked on a few major areas</t>
  </si>
  <si>
    <t>Soft/Hard edges improves the overall form of the model</t>
  </si>
  <si>
    <t>Soft/Hard edges improves the form of the model and assist to improve the detail level of the model</t>
  </si>
  <si>
    <t>Criterion E</t>
  </si>
  <si>
    <t>E1</t>
  </si>
  <si>
    <t>All UV shells are within one UV square</t>
  </si>
  <si>
    <t>3D Asset that is sharing all its parts is on one UV square</t>
  </si>
  <si>
    <t>All UV shells has a non-tiling UV format</t>
  </si>
  <si>
    <t>3D Asset that is sharing all its parts has non-tiling UVs</t>
  </si>
  <si>
    <t>3D Asset's UV wireframes are exported to a JPG file for texturing</t>
  </si>
  <si>
    <t>UV snapshot to a JPG file</t>
  </si>
  <si>
    <t>No improper overlapping UVs (except for mirrored and stacked UV shells)</t>
  </si>
  <si>
    <t>To check with chequered texture</t>
  </si>
  <si>
    <t>No obvious stretching or distortion of textures on all surfaces</t>
  </si>
  <si>
    <t>3D Asset has separate UV shells that represent understandable elements of the 3D model</t>
  </si>
  <si>
    <t>Majority of the shells are highly fragmented and has shapes that do not relate to the elements of the 3D model</t>
  </si>
  <si>
    <t>Majority of the shells do not have shapes that relate to the elements of the 3D model</t>
  </si>
  <si>
    <t>Minority of the shells do not have shapes that relate to the elements of the 3D model</t>
  </si>
  <si>
    <t>All the shells are recognisable and represents the elements of the 3D model</t>
  </si>
  <si>
    <t>E2</t>
  </si>
  <si>
    <t>Optimisation of UVs</t>
  </si>
  <si>
    <t>Optimal use of UV spacing. Texture sheet usage is maximised with minimum negative space and no bleeding into adjacent UV squares</t>
  </si>
  <si>
    <t>41+% of negative space</t>
  </si>
  <si>
    <t>26-40% of negative space</t>
  </si>
  <si>
    <t>11-25% of negative space</t>
  </si>
  <si>
    <t>0-10% of negative space</t>
  </si>
  <si>
    <t>Optimal use of UVs. Repeated and mirror UVs where possible</t>
  </si>
  <si>
    <t>No use of mirroring or repeats</t>
  </si>
  <si>
    <t>Use at least one mirror or stacked shell</t>
  </si>
  <si>
    <t>Use 2 mirror or repeated shell opportunities</t>
  </si>
  <si>
    <t>Consistently use mirrored or repeated shells</t>
  </si>
  <si>
    <t>Optimal use of texel density. Adequate use of shell size for more detail areas</t>
  </si>
  <si>
    <t>Shells sizes are of inappropriate texel density that do not relate to sizes of the 3D Objects</t>
  </si>
  <si>
    <t>Shells sizes are equally allocated and 3D Objects have equal texel density</t>
  </si>
  <si>
    <t>Shells sizes are adequately allocated to give higher texel density for detailed areas</t>
  </si>
  <si>
    <t>Shells sizes are well allocated such that the final visual is accentuated</t>
  </si>
  <si>
    <t>Criterion F</t>
  </si>
  <si>
    <t>F1</t>
  </si>
  <si>
    <t>Utilisation of Texture Maps</t>
  </si>
  <si>
    <t>Diffuse Map is correctly used</t>
  </si>
  <si>
    <t>Diffuse map matches the UVs and has the appropiate colours for the different parts</t>
  </si>
  <si>
    <t>Roughness Map is correctly used</t>
  </si>
  <si>
    <t>Roughness has greyscale colours that represent the rough and smooth surfaces</t>
  </si>
  <si>
    <t>Metallic Map is correctly used</t>
  </si>
  <si>
    <t>Metallic has greyscale colours that represent the metallic and non-metallic surfaces</t>
  </si>
  <si>
    <t>Ambient Occlusion Map is correctly used</t>
  </si>
  <si>
    <t>AO map represents the ambient shadows correctly with no odd shading</t>
  </si>
  <si>
    <t>An opacity map creates the appropriate transparency for the 3D Asset</t>
  </si>
  <si>
    <t>No use of opacity map</t>
  </si>
  <si>
    <t>Opacity map is applied, but it does not contribute effectively, possibly causing unwanted artifacts or inconsistencies</t>
  </si>
  <si>
    <t>Opacity map is used correctly, providing suitable transparency where intended without any issues</t>
  </si>
  <si>
    <t>Opacity map is skillfully applied, enhancing the 3D asset with fine details and subtle transparency effects that contribute to the overall realism and appeal</t>
  </si>
  <si>
    <t>Various methods of material masking are used in Substance Painter</t>
  </si>
  <si>
    <t>All of the textures have been created in Photoshop</t>
  </si>
  <si>
    <t>Substance Materials is used for texture generation but the final textures were put together in Photoshop with edits/masking</t>
  </si>
  <si>
    <t>Substance Materials uses a combination of masks</t>
  </si>
  <si>
    <t>Substance Materials uses a combination of masks, anchor points and filters</t>
  </si>
  <si>
    <t>F2</t>
  </si>
  <si>
    <t>Quality of Texture Maps</t>
  </si>
  <si>
    <t>The minor asset sculpt's normal details are transferred accurately to the retopologised mesh in Maya/Max</t>
  </si>
  <si>
    <t>Normal map is not created</t>
  </si>
  <si>
    <t>Normal map is created but there are minor baking errors (details not baked, normal map is missing, UVs are incorrect etc)</t>
  </si>
  <si>
    <t>Normal map is created but there are major baking errors (odd shadows, odd details baking into normal map etc)</t>
  </si>
  <si>
    <t>Normal map is created accurately and translates the high resolution model's details to game resolution model</t>
  </si>
  <si>
    <t>Textures look seamless on the 3D Asset</t>
  </si>
  <si>
    <t>Texture seams are obvious on geometry</t>
  </si>
  <si>
    <t>Texture seams vaguely noticable on geometry</t>
  </si>
  <si>
    <t>Texture seams are unnoticable</t>
  </si>
  <si>
    <t>Texture seams are unnoticable and well-integrated with model design</t>
  </si>
  <si>
    <t>Textures style matches the style guide</t>
  </si>
  <si>
    <t>The textures do not resemble the style guide</t>
  </si>
  <si>
    <t>The textures closely resemble the style guide</t>
  </si>
  <si>
    <t>The textures conform to the style guide</t>
  </si>
  <si>
    <t>The textures accentuate the style guide</t>
  </si>
  <si>
    <t>A variety of materials can be identified. (e.g. metal, plastic, glass, leathers etc)</t>
  </si>
  <si>
    <t>1 or no materials can be identified</t>
  </si>
  <si>
    <t>2 materials have can be identified</t>
  </si>
  <si>
    <t>3 materials have can be identified</t>
  </si>
  <si>
    <t>4 or more materials can be identified</t>
  </si>
  <si>
    <t>Appropriate texture details are applied. (e.g. dirt, wear and tear etc)</t>
  </si>
  <si>
    <t>No evidence of texture details</t>
  </si>
  <si>
    <t>Some texture details can be seen</t>
  </si>
  <si>
    <t>Texture contains good details but are inappropriately or uniformly distributed</t>
  </si>
  <si>
    <t>Texture contains good details that are appropriately and logically distributed</t>
  </si>
  <si>
    <t>Overall quality of textures</t>
  </si>
  <si>
    <t>Lack clarity and detail, often appearing blurry or indistinct</t>
  </si>
  <si>
    <t>Moderately clear and recognizable, but lack refinement or fine detail</t>
  </si>
  <si>
    <t>Clear, detailed, and visually appealing</t>
  </si>
  <si>
    <t>Exceptionally detailed, realistic and visually appealing.</t>
  </si>
  <si>
    <t>Criterion G</t>
  </si>
  <si>
    <t>G1</t>
  </si>
  <si>
    <t>Rigging</t>
  </si>
  <si>
    <t>The bones have been appropriately positioned within the 3D Mesh</t>
  </si>
  <si>
    <t>Bones are placed within the mesh, and reflect the real world bones of the 3D Model</t>
  </si>
  <si>
    <t>Mesh and Bones are grouped in separate Layers</t>
  </si>
  <si>
    <t>Mesh and bones are grouped in separate layers for better organisation</t>
  </si>
  <si>
    <t>FK or IK system is set up</t>
  </si>
  <si>
    <t>No bone links set up</t>
  </si>
  <si>
    <t>FK bone is set up</t>
  </si>
  <si>
    <t>FK and IK are set up</t>
  </si>
  <si>
    <t>IK chain is set up with constraints</t>
  </si>
  <si>
    <t>3D Asset's mesh is skinned to the bones so that they have influence on its vertices</t>
  </si>
  <si>
    <t>No skinning set up</t>
  </si>
  <si>
    <t>Skin modifiers set up</t>
  </si>
  <si>
    <t>Skin modifiers painted for moderate use of deformation</t>
  </si>
  <si>
    <t>Skin modifiers painted for good use of deformation</t>
  </si>
  <si>
    <t>G2</t>
  </si>
  <si>
    <t>Animation</t>
  </si>
  <si>
    <t>The animations are exported to FBX</t>
  </si>
  <si>
    <t>FBX files containing animation data is exported</t>
  </si>
  <si>
    <t>The animations duration and frame rate are correct</t>
  </si>
  <si>
    <t>Duration and frame rate are set correctly in Max/Maya</t>
  </si>
  <si>
    <t>Animation1 loops smoothly without popping</t>
  </si>
  <si>
    <t>No sudden jerk when animation loop is played back</t>
  </si>
  <si>
    <t>Animation2 loops smoothly without popping</t>
  </si>
  <si>
    <t>Animation principles (e.g. secondary action, stretch and squash etc) are applied onto animations</t>
  </si>
  <si>
    <t>Application of principles of animation</t>
  </si>
  <si>
    <t>Animation1: Key frame animations are created in Max/Maya</t>
  </si>
  <si>
    <t>No key frame animation</t>
  </si>
  <si>
    <t>At least 2 key frames for the animation</t>
  </si>
  <si>
    <t>Effective animation</t>
  </si>
  <si>
    <t>Excellent animation</t>
  </si>
  <si>
    <t>Animation2: Key frame animations are created in Max/Maya</t>
  </si>
  <si>
    <t>Criterion H</t>
  </si>
  <si>
    <t>H1</t>
  </si>
  <si>
    <t>Technical Art / Game Engine</t>
  </si>
  <si>
    <t>Textured 3D Asset (PC) is imported into the engine without errors</t>
  </si>
  <si>
    <t>3D Asset is displayed with textures in game engine without errors</t>
  </si>
  <si>
    <t>Textured 3D Asset (PC) can move accordingly with key press 'WASD' keys at runtime</t>
  </si>
  <si>
    <t>Textured 3D Asset (PC) can accelerate, turn left and right properly with key press 'WASD' keys at runtime</t>
  </si>
  <si>
    <t>Textured 3D Asset (NPC1) is imported into the engine without errors</t>
  </si>
  <si>
    <t>Textured 3D Asset (NPC1) is replaced and functioning without errors</t>
  </si>
  <si>
    <t>3D Asset is displayed with textures in game engine and moves in pre-defined path</t>
  </si>
  <si>
    <t>Collisions are set up  properly</t>
  </si>
  <si>
    <t>Wheel's collisions are set up as spheres</t>
  </si>
  <si>
    <t>Beauty Render: A custom camera is set up to showcase the 3D Asset (PC)</t>
  </si>
  <si>
    <t>There is a user created camera focusing on the 3D Asset</t>
  </si>
  <si>
    <t>Attempt to organise the visual scripting nodes with Grouping</t>
  </si>
  <si>
    <t>Use of Grouping and comments to enhance code readability</t>
  </si>
  <si>
    <t>Minor asset plays Animation1 when "W" is pressed at runtime</t>
  </si>
  <si>
    <t>Plays Animation1</t>
  </si>
  <si>
    <t>Minor asset plays Animation2 when "S" is pressed at runtime</t>
  </si>
  <si>
    <t>Plays Animation2</t>
  </si>
  <si>
    <t>Beauty Render: The 3D Asset is lit appropriately in the engine</t>
  </si>
  <si>
    <t>3D Asset is not lit</t>
  </si>
  <si>
    <t>3D Asset is not well-lit</t>
  </si>
  <si>
    <t>3D Asset is well-lit (with three-point lighting etc), providing adequate illumination but lacking elements that enhance mood or atmosphere.</t>
  </si>
  <si>
    <t>3D Asset is accentuated (with three-point lighting etc), complemented by ambient effects like bloom or particles, to enhance mood or atmosphere</t>
  </si>
  <si>
    <t>Criterion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</si>
</sst>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name val="Arial"/>
      <sz val="10.0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right style="medium"/>
    </border>
    <border>
      <right style="medium">
        <color indexed="8"/>
      </right>
    </border>
    <border>
      <left style="medium"/>
      <right style="medium"/>
    </border>
    <border>
      <left style="medium"/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</border>
    <border>
      <left style="medium">
        <color indexed="8"/>
      </left>
      <right style="medium">
        <color indexed="8"/>
      </right>
      <bottom style="medium"/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0" xfId="0" applyFont="true" applyAlignment="true">
      <alignment horizontal="left" vertical="center"/>
    </xf>
    <xf numFmtId="0" fontId="9" fillId="0" borderId="0" xfId="0" applyFont="true" applyAlignment="true">
      <alignment horizontal="center" vertical="center"/>
    </xf>
    <xf numFmtId="2" fontId="9" fillId="0" borderId="0" xfId="0" applyFont="true" applyAlignment="true" applyNumberFormat="true">
      <alignment horizontal="center" vertical="center"/>
    </xf>
    <xf numFmtId="0" fontId="9" fillId="0" borderId="7" xfId="0" applyFont="true" applyAlignment="true" applyBorder="true">
      <alignment horizontal="left" vertical="center"/>
    </xf>
    <xf numFmtId="0" fontId="9" fillId="0" borderId="9" xfId="0" applyFont="true" applyAlignment="true" applyBorder="true">
      <alignment horizontal="center" vertical="center"/>
    </xf>
    <xf numFmtId="2" fontId="9" fillId="0" borderId="9" xfId="0" applyFont="true" applyAlignment="true" applyBorder="true" applyNumberFormat="true">
      <alignment horizontal="center" vertical="center"/>
    </xf>
    <xf numFmtId="2" fontId="9" fillId="0" borderId="7" xfId="0" applyFont="true" applyAlignment="true" applyBorder="true" applyNumberFormat="true">
      <alignment horizontal="center" vertical="center"/>
    </xf>
    <xf numFmtId="0" fontId="9" fillId="0" borderId="11" xfId="0" applyFont="true" applyAlignment="true" applyBorder="true">
      <alignment horizontal="left" vertical="center"/>
    </xf>
    <xf numFmtId="0" fontId="9" fillId="0" borderId="14" xfId="0" applyFont="true" applyAlignment="true" applyBorder="true">
      <alignment horizontal="center" vertical="center"/>
    </xf>
    <xf numFmtId="2" fontId="9" fillId="0" borderId="14" xfId="0" applyFont="true" applyAlignment="true" applyBorder="true" applyNumberFormat="true">
      <alignment horizontal="center" vertical="center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vmlDrawing2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workbookViewId="0">
      <selection activeCell="F21" sqref="F21"/>
    </sheetView>
  </sheetViews>
  <sheetFormatPr baseColWidth="10" defaultColWidth="8.83203125" defaultRowHeight="13" x14ac:dyDescent="0.15"/>
  <cols>
    <col min="1" max="1" customWidth="true" width="7.6640625"/>
    <col min="2" max="2" customWidth="true" width="39.0"/>
    <col min="3" max="3" customWidth="true" width="7.83203125"/>
    <col min="4" max="4" customWidth="true" width="8.5"/>
    <col min="5" max="5" customWidth="true" width="52.1640625"/>
    <col min="6" max="6" customWidth="true" width="8.0"/>
    <col min="7" max="7" customWidth="true" width="46.6640625"/>
    <col min="8" max="8" customWidth="true" width="15.5"/>
    <col min="9" max="9" customWidth="true" width="11.33203125"/>
    <col min="10" max="10" customWidth="true" width="11.0"/>
    <col min="11" max="11" customWidth="true" width="10.6640625"/>
    <col min="12" max="12" customWidth="true" width="18.5"/>
    <col min="14" max="14" bestFit="true" customWidth="true" width="10.6640625"/>
  </cols>
  <sheetData>
    <row r="1" spans="1:14" ht="49" customHeight="1" thickBot="1" x14ac:dyDescent="0.2">
      <c r="A1" s="26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4" ht="36" customHeight="1" thickBot="1" x14ac:dyDescent="0.2">
      <c r="C2" s="2"/>
      <c r="E2" s="2"/>
      <c r="J2" s="2"/>
    </row>
    <row r="3" spans="1:14" ht="35" customHeight="1" thickBot="1" x14ac:dyDescent="0.2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4" ht="35" customHeight="1" thickBot="1" x14ac:dyDescent="0.2">
      <c r="A4" s="11" t="s">
        <v>12</v>
      </c>
      <c r="B4" s="17" t="s">
        <v>22</v>
      </c>
      <c r="C4" s="18"/>
      <c r="D4" s="18"/>
      <c r="E4" s="18"/>
      <c r="F4" s="18"/>
      <c r="G4" s="18"/>
      <c r="H4" s="19"/>
      <c r="I4" s="12" t="s">
        <v>22</v>
      </c>
      <c r="J4" s="12" t="s">
        <v>14</v>
      </c>
      <c r="K4" s="12" t="s">
        <v>18</v>
      </c>
    </row>
    <row r="5" ht="25.0" customHeight="true">
      <c r="A5" t="n" s="35">
        <v>1.0</v>
      </c>
      <c r="B5" t="s" s="34">
        <v>25</v>
      </c>
      <c r="H5" s="41"/>
      <c r="I5" t="n" s="37">
        <v>5.0</v>
      </c>
      <c r="J5" s="36">
        <f>SUMIF(I30:I302, A5, K30:K302)</f>
      </c>
      <c r="K5" s="36">
        <f>ABS(I5-J5)</f>
      </c>
    </row>
    <row r="6" ht="25.0" customHeight="true">
      <c r="A6" t="n" s="35">
        <v>2.0</v>
      </c>
      <c r="B6" t="s" s="34">
        <v>26</v>
      </c>
      <c r="H6" s="41"/>
      <c r="I6" t="n" s="37">
        <v>5.0</v>
      </c>
      <c r="J6" s="36">
        <f>SUMIF(I30:I302, A6, K30:K302)</f>
      </c>
      <c r="K6" s="36">
        <f>ABS(I6-J6)</f>
      </c>
    </row>
    <row r="7" ht="25.0" customHeight="true">
      <c r="A7" t="n" s="35">
        <v>3.0</v>
      </c>
      <c r="B7" t="s" s="34">
        <v>27</v>
      </c>
      <c r="H7" s="41"/>
      <c r="I7" t="n" s="37">
        <v>15.0</v>
      </c>
      <c r="J7" s="36">
        <f>SUMIF(I30:I302, A7, K30:K302)</f>
      </c>
      <c r="K7" s="36">
        <f>ABS(I7-J7)</f>
      </c>
    </row>
    <row r="8" ht="25.0" customHeight="true">
      <c r="A8" t="n" s="35">
        <v>4.0</v>
      </c>
      <c r="B8" t="s" s="34">
        <v>28</v>
      </c>
      <c r="H8" s="41"/>
      <c r="I8" t="n" s="37">
        <v>25.0</v>
      </c>
      <c r="J8" s="36">
        <f>SUMIF(I30:I302, A8, K30:K302)</f>
      </c>
      <c r="K8" s="36">
        <f>ABS(I8-J8)</f>
      </c>
    </row>
    <row r="9" ht="25.0" customHeight="true">
      <c r="A9" t="n" s="35">
        <v>5.0</v>
      </c>
      <c r="B9" t="s" s="34">
        <v>29</v>
      </c>
      <c r="H9" s="41"/>
      <c r="I9" t="n" s="37">
        <v>10.0</v>
      </c>
      <c r="J9" s="36">
        <f>SUMIF(I30:I302, A9, K30:K302)</f>
      </c>
      <c r="K9" s="36">
        <f>ABS(I9-J9)</f>
      </c>
    </row>
    <row r="10" ht="25.0" customHeight="true">
      <c r="A10" t="n" s="35">
        <v>6.0</v>
      </c>
      <c r="B10" t="s" s="34">
        <v>30</v>
      </c>
      <c r="H10" s="41"/>
      <c r="I10" t="n" s="37">
        <v>18.0</v>
      </c>
      <c r="J10" s="36">
        <f>SUMIF(I30:I302, A10, K30:K302)</f>
      </c>
      <c r="K10" s="36">
        <f>ABS(I10-J10)</f>
      </c>
    </row>
    <row r="11" ht="25.0" customHeight="true">
      <c r="A11" t="n" s="35">
        <v>7.0</v>
      </c>
      <c r="B11" t="s" s="34">
        <v>31</v>
      </c>
      <c r="H11" s="41"/>
      <c r="I11" t="n" s="37">
        <v>12.0</v>
      </c>
      <c r="J11" s="36">
        <f>SUMIF(I30:I302, A11, K30:K302)</f>
      </c>
      <c r="K11" s="36">
        <f>ABS(I11-J11)</f>
      </c>
    </row>
    <row r="12" ht="25.0" customHeight="true">
      <c r="A12" t="n" s="39">
        <v>8.0</v>
      </c>
      <c r="B12" t="s" s="38">
        <v>32</v>
      </c>
      <c r="C12" s="42"/>
      <c r="D12" s="42"/>
      <c r="E12" s="42"/>
      <c r="F12" s="42"/>
      <c r="G12" s="42"/>
      <c r="H12" s="43"/>
      <c r="I12" t="n" s="40">
        <v>10.0</v>
      </c>
      <c r="J12" s="40">
        <f>SUMIF(I30:I302, A12, K30:K302)</f>
      </c>
      <c r="K12" s="40">
        <f>ABS(I12-J12)</f>
      </c>
    </row>
    <row r="13" spans="1:14" ht="25.0" customHeight="true" thickBot="1" x14ac:dyDescent="0.2">
      <c r="C13" s="10"/>
      <c r="E13" s="10"/>
      <c r="I13" s="29" t="s">
        <v>20</v>
      </c>
      <c r="J13" s="30"/>
      <c r="K13" s="40">
        <f>SUM(K5:K12)</f>
      </c>
    </row>
    <row r="14" spans="1:14" ht="20" customHeight="1" x14ac:dyDescent="0.15">
      <c r="C14" s="10"/>
      <c r="E14" s="10"/>
      <c r="I14" s="15"/>
      <c r="J14" s="15"/>
      <c r="K14" s="16"/>
    </row>
    <row r="15" spans="1:14" ht="20" customHeight="1" thickBot="1" x14ac:dyDescent="0.2">
      <c r="C15" s="10"/>
      <c r="E15" s="10"/>
      <c r="I15" s="13"/>
      <c r="J15" s="10"/>
    </row>
    <row r="16" spans="1:14" ht="35.0" customHeight="true" thickBot="1" x14ac:dyDescent="0.2">
      <c r="A16" s="20" t="s">
        <v>17</v>
      </c>
      <c r="B16" s="21"/>
      <c r="C16" s="21"/>
      <c r="D16" s="21"/>
      <c r="E16" s="21"/>
      <c r="F16" s="21"/>
      <c r="G16" s="21"/>
      <c r="H16" s="21"/>
      <c r="I16" s="21"/>
      <c r="J16" s="21"/>
      <c r="K16" s="22"/>
    </row>
    <row r="17" spans="1:14" ht="35.0" customHeight="true" thickBot="1" x14ac:dyDescent="0.2">
      <c r="A17" s="11" t="s">
        <v>19</v>
      </c>
      <c r="B17" s="23" t="s">
        <v>13</v>
      </c>
      <c r="C17" s="24"/>
      <c r="D17" s="24"/>
      <c r="E17" s="24"/>
      <c r="F17" s="24"/>
      <c r="G17" s="24"/>
      <c r="H17" s="24"/>
      <c r="I17" s="24"/>
      <c r="J17" s="25"/>
      <c r="K17" s="11" t="s">
        <v>0</v>
      </c>
    </row>
    <row r="18" ht="25.0" customHeight="true">
      <c r="A18" t="s" s="35">
        <v>33</v>
      </c>
      <c r="B18" t="s" s="34">
        <v>25</v>
      </c>
      <c r="J18" s="41"/>
      <c r="K18" t="n" s="37">
        <v>5.0</v>
      </c>
    </row>
    <row r="19" ht="25.0" customHeight="true">
      <c r="A19" t="s" s="35">
        <v>34</v>
      </c>
      <c r="B19" t="s" s="34">
        <v>26</v>
      </c>
      <c r="J19" s="41"/>
      <c r="K19" t="n" s="37">
        <v>5.0</v>
      </c>
    </row>
    <row r="20" ht="25.0" customHeight="true">
      <c r="A20" t="s" s="35">
        <v>35</v>
      </c>
      <c r="B20" t="s" s="34">
        <v>27</v>
      </c>
      <c r="J20" s="41"/>
      <c r="K20" t="n" s="37">
        <v>15.0</v>
      </c>
    </row>
    <row r="21" ht="25.0" customHeight="true">
      <c r="A21" t="s" s="35">
        <v>36</v>
      </c>
      <c r="B21" t="s" s="34">
        <v>28</v>
      </c>
      <c r="J21" s="41"/>
      <c r="K21" t="n" s="37">
        <v>25.0</v>
      </c>
    </row>
    <row r="22" ht="25.0" customHeight="true">
      <c r="A22" t="s" s="35">
        <v>37</v>
      </c>
      <c r="B22" t="s" s="34">
        <v>29</v>
      </c>
      <c r="J22" s="41"/>
      <c r="K22" t="n" s="37">
        <v>10.0</v>
      </c>
    </row>
    <row r="23" ht="25.0" customHeight="true">
      <c r="A23" t="s" s="35">
        <v>38</v>
      </c>
      <c r="B23" t="s" s="34">
        <v>30</v>
      </c>
      <c r="J23" s="41"/>
      <c r="K23" t="n" s="37">
        <v>18.0</v>
      </c>
    </row>
    <row r="24" ht="25.0" customHeight="true">
      <c r="A24" t="s" s="35">
        <v>39</v>
      </c>
      <c r="B24" t="s" s="34">
        <v>31</v>
      </c>
      <c r="J24" s="41"/>
      <c r="K24" t="n" s="37">
        <v>12.0</v>
      </c>
    </row>
    <row r="25" ht="25.0" customHeight="true">
      <c r="A25" t="s" s="35">
        <v>40</v>
      </c>
      <c r="B25" t="s" s="34">
        <v>32</v>
      </c>
      <c r="J25" s="41"/>
      <c r="K25" t="n" s="37">
        <v>10.0</v>
      </c>
    </row>
    <row r="26" ht="25.0" customHeight="true">
      <c r="A26" t="s" s="39">
        <v>41</v>
      </c>
      <c r="B26" s="38"/>
      <c r="C26" s="42"/>
      <c r="D26" s="42"/>
      <c r="E26" s="42"/>
      <c r="F26" s="42"/>
      <c r="G26" s="42"/>
      <c r="H26" s="42"/>
      <c r="I26" s="42"/>
      <c r="J26" s="43"/>
      <c r="K26" s="40"/>
    </row>
    <row r="27" spans="1:14" ht="20" customHeight="1" x14ac:dyDescent="0.15">
      <c r="F27" s="8"/>
      <c r="G27" s="9"/>
      <c r="H27" s="9"/>
      <c r="I27" s="9"/>
      <c r="J27" s="3"/>
    </row>
    <row r="28" spans="1:14" ht="20" customHeight="1" thickBot="1" x14ac:dyDescent="0.2">
      <c r="C28" s="3"/>
      <c r="H28" s="3"/>
      <c r="I28" s="3"/>
      <c r="J28" s="3"/>
    </row>
    <row r="29" spans="1:14" ht="71" thickBot="1" x14ac:dyDescent="0.2">
      <c r="A29" s="4" t="s">
        <v>15</v>
      </c>
      <c r="B29" s="4" t="s">
        <v>16</v>
      </c>
      <c r="C29" s="4" t="s">
        <v>10</v>
      </c>
      <c r="D29" s="4" t="s">
        <v>6</v>
      </c>
      <c r="E29" s="4" t="s">
        <v>1</v>
      </c>
      <c r="F29" s="4" t="s">
        <v>2</v>
      </c>
      <c r="G29" s="4" t="s">
        <v>8</v>
      </c>
      <c r="H29" s="4" t="s">
        <v>9</v>
      </c>
      <c r="I29" s="4" t="s">
        <v>23</v>
      </c>
      <c r="J29" s="4" t="s">
        <v>11</v>
      </c>
      <c r="K29" s="4" t="s">
        <v>3</v>
      </c>
      <c r="L29" s="5" t="s">
        <v>7</v>
      </c>
      <c r="M29" s="6" t="s">
        <v>4</v>
      </c>
      <c r="N29" s="7">
        <f>SUM(K30:K45)</f>
      </c>
    </row>
    <row r="30">
      <c r="A30" s="35" t="s">
        <v>42</v>
      </c>
      <c r="B30" s="34" t="s">
        <v>27</v>
      </c>
      <c r="C30" s="35" t="s">
        <v>44</v>
      </c>
      <c r="D30" s="34" t="s">
        <v>43</v>
      </c>
      <c r="E30" s="34" t="s">
        <v>43</v>
      </c>
      <c r="F30" s="34" t="s">
        <v>43</v>
      </c>
      <c r="G30" s="34" t="s">
        <v>43</v>
      </c>
      <c r="H30" s="34" t="s">
        <v>43</v>
      </c>
      <c r="I30" s="34" t="s">
        <v>43</v>
      </c>
      <c r="J30" s="34" t="s">
        <v>43</v>
      </c>
      <c r="K30" s="34" t="s">
        <v>43</v>
      </c>
    </row>
    <row r="31">
      <c r="A31" s="35" t="s">
        <v>43</v>
      </c>
      <c r="B31" s="34" t="s">
        <v>43</v>
      </c>
      <c r="C31" s="35" t="s">
        <v>43</v>
      </c>
      <c r="D31" s="35" t="s">
        <v>45</v>
      </c>
      <c r="E31" s="34" t="s">
        <v>46</v>
      </c>
      <c r="F31" s="35" t="s">
        <v>43</v>
      </c>
      <c r="G31" s="34" t="s">
        <v>47</v>
      </c>
      <c r="H31" s="34" t="s">
        <v>43</v>
      </c>
      <c r="I31" s="35" t="n">
        <v>1.0</v>
      </c>
      <c r="J31" s="35"/>
      <c r="K31" s="37" t="n">
        <v>0.5</v>
      </c>
    </row>
    <row r="32">
      <c r="A32" s="35" t="s">
        <v>43</v>
      </c>
      <c r="B32" s="34" t="s">
        <v>43</v>
      </c>
      <c r="C32" s="35" t="s">
        <v>43</v>
      </c>
      <c r="D32" s="35" t="s">
        <v>45</v>
      </c>
      <c r="E32" s="34" t="s">
        <v>48</v>
      </c>
      <c r="F32" s="35" t="s">
        <v>43</v>
      </c>
      <c r="G32" s="34" t="s">
        <v>49</v>
      </c>
      <c r="H32" s="34" t="s">
        <v>43</v>
      </c>
      <c r="I32" s="35" t="n">
        <v>1.0</v>
      </c>
      <c r="J32" s="35"/>
      <c r="K32" s="37" t="n">
        <v>1.0</v>
      </c>
    </row>
    <row r="33">
      <c r="A33" s="35" t="s">
        <v>50</v>
      </c>
      <c r="B33" s="34" t="s">
        <v>51</v>
      </c>
      <c r="C33" s="35" t="s">
        <v>44</v>
      </c>
      <c r="D33" s="34" t="s">
        <v>43</v>
      </c>
      <c r="E33" s="34" t="s">
        <v>43</v>
      </c>
      <c r="F33" s="34" t="s">
        <v>43</v>
      </c>
      <c r="G33" s="34" t="s">
        <v>43</v>
      </c>
      <c r="H33" s="34" t="s">
        <v>43</v>
      </c>
      <c r="I33" s="34" t="s">
        <v>43</v>
      </c>
      <c r="J33" s="34" t="s">
        <v>43</v>
      </c>
      <c r="K33" s="34" t="s">
        <v>43</v>
      </c>
    </row>
    <row r="34">
      <c r="A34" s="35" t="s">
        <v>43</v>
      </c>
      <c r="B34" s="34" t="s">
        <v>43</v>
      </c>
      <c r="C34" s="35" t="s">
        <v>43</v>
      </c>
      <c r="D34" s="35" t="s">
        <v>45</v>
      </c>
      <c r="E34" s="34" t="s">
        <v>52</v>
      </c>
      <c r="F34" s="35" t="s">
        <v>43</v>
      </c>
      <c r="G34" s="34" t="s">
        <v>53</v>
      </c>
      <c r="H34" s="34" t="s">
        <v>43</v>
      </c>
      <c r="I34" s="35" t="n">
        <v>1.0</v>
      </c>
      <c r="J34" s="35"/>
      <c r="K34" s="37" t="n">
        <v>0.5</v>
      </c>
    </row>
    <row r="35">
      <c r="A35" s="35" t="s">
        <v>43</v>
      </c>
      <c r="B35" s="34" t="s">
        <v>43</v>
      </c>
      <c r="C35" s="35" t="s">
        <v>43</v>
      </c>
      <c r="D35" s="35" t="s">
        <v>45</v>
      </c>
      <c r="E35" s="34" t="s">
        <v>54</v>
      </c>
      <c r="F35" s="35" t="s">
        <v>43</v>
      </c>
      <c r="G35" s="34" t="s">
        <v>55</v>
      </c>
      <c r="H35" s="34" t="s">
        <v>43</v>
      </c>
      <c r="I35" s="35" t="n">
        <v>1.0</v>
      </c>
      <c r="J35" s="35"/>
      <c r="K35" s="37" t="n">
        <v>0.5</v>
      </c>
    </row>
    <row r="36">
      <c r="A36" s="35" t="s">
        <v>56</v>
      </c>
      <c r="B36" s="34" t="s">
        <v>28</v>
      </c>
      <c r="C36" s="35" t="s">
        <v>57</v>
      </c>
      <c r="D36" s="34" t="s">
        <v>43</v>
      </c>
      <c r="E36" s="34" t="s">
        <v>43</v>
      </c>
      <c r="F36" s="34" t="s">
        <v>43</v>
      </c>
      <c r="G36" s="34" t="s">
        <v>43</v>
      </c>
      <c r="H36" s="34" t="s">
        <v>43</v>
      </c>
      <c r="I36" s="34" t="s">
        <v>43</v>
      </c>
      <c r="J36" s="34" t="s">
        <v>43</v>
      </c>
      <c r="K36" s="34" t="s">
        <v>43</v>
      </c>
    </row>
    <row r="37">
      <c r="A37" s="35" t="s">
        <v>43</v>
      </c>
      <c r="B37" s="34" t="s">
        <v>43</v>
      </c>
      <c r="C37" s="35" t="s">
        <v>43</v>
      </c>
      <c r="D37" s="35" t="s">
        <v>45</v>
      </c>
      <c r="E37" s="34" t="s">
        <v>58</v>
      </c>
      <c r="F37" s="35" t="s">
        <v>43</v>
      </c>
      <c r="G37" s="34" t="s">
        <v>59</v>
      </c>
      <c r="H37" s="34" t="s">
        <v>43</v>
      </c>
      <c r="I37" s="35" t="n">
        <v>1.0</v>
      </c>
      <c r="J37" s="35"/>
      <c r="K37" s="37" t="n">
        <v>0.5</v>
      </c>
    </row>
    <row r="38">
      <c r="A38" s="35" t="s">
        <v>43</v>
      </c>
      <c r="B38" s="34" t="s">
        <v>43</v>
      </c>
      <c r="C38" s="35" t="s">
        <v>43</v>
      </c>
      <c r="D38" s="35" t="s">
        <v>45</v>
      </c>
      <c r="E38" s="34" t="s">
        <v>60</v>
      </c>
      <c r="F38" s="35" t="s">
        <v>43</v>
      </c>
      <c r="G38" s="34" t="s">
        <v>61</v>
      </c>
      <c r="H38" s="34" t="s">
        <v>43</v>
      </c>
      <c r="I38" s="35" t="n">
        <v>1.0</v>
      </c>
      <c r="J38" s="35"/>
      <c r="K38" s="37" t="n">
        <v>0.5</v>
      </c>
    </row>
    <row r="39">
      <c r="A39" s="35" t="s">
        <v>62</v>
      </c>
      <c r="B39" s="34" t="s">
        <v>30</v>
      </c>
      <c r="C39" s="35" t="s">
        <v>63</v>
      </c>
      <c r="D39" s="34" t="s">
        <v>43</v>
      </c>
      <c r="E39" s="34" t="s">
        <v>43</v>
      </c>
      <c r="F39" s="34" t="s">
        <v>43</v>
      </c>
      <c r="G39" s="34" t="s">
        <v>43</v>
      </c>
      <c r="H39" s="34" t="s">
        <v>43</v>
      </c>
      <c r="I39" s="34" t="s">
        <v>43</v>
      </c>
      <c r="J39" s="34" t="s">
        <v>43</v>
      </c>
      <c r="K39" s="34" t="s">
        <v>43</v>
      </c>
    </row>
    <row r="40">
      <c r="A40" s="35" t="s">
        <v>43</v>
      </c>
      <c r="B40" s="34" t="s">
        <v>43</v>
      </c>
      <c r="C40" s="35" t="s">
        <v>43</v>
      </c>
      <c r="D40" s="35" t="s">
        <v>45</v>
      </c>
      <c r="E40" s="34" t="s">
        <v>64</v>
      </c>
      <c r="F40" s="35" t="s">
        <v>43</v>
      </c>
      <c r="G40" s="34" t="s">
        <v>65</v>
      </c>
      <c r="H40" s="34" t="s">
        <v>43</v>
      </c>
      <c r="I40" s="35" t="n">
        <v>1.0</v>
      </c>
      <c r="J40" s="35"/>
      <c r="K40" s="37" t="n">
        <v>0.5</v>
      </c>
    </row>
    <row r="41">
      <c r="A41" s="35" t="s">
        <v>43</v>
      </c>
      <c r="B41" s="34" t="s">
        <v>43</v>
      </c>
      <c r="C41" s="35" t="s">
        <v>43</v>
      </c>
      <c r="D41" s="35" t="s">
        <v>45</v>
      </c>
      <c r="E41" s="34" t="s">
        <v>66</v>
      </c>
      <c r="F41" s="35" t="s">
        <v>43</v>
      </c>
      <c r="G41" s="34" t="s">
        <v>67</v>
      </c>
      <c r="H41" s="34" t="s">
        <v>43</v>
      </c>
      <c r="I41" s="35" t="n">
        <v>1.0</v>
      </c>
      <c r="J41" s="35"/>
      <c r="K41" s="37" t="n">
        <v>0.5</v>
      </c>
    </row>
    <row r="42">
      <c r="A42" s="35" t="s">
        <v>68</v>
      </c>
      <c r="B42" s="34" t="s">
        <v>32</v>
      </c>
      <c r="C42" s="35" t="s">
        <v>69</v>
      </c>
      <c r="D42" s="34" t="s">
        <v>43</v>
      </c>
      <c r="E42" s="34" t="s">
        <v>43</v>
      </c>
      <c r="F42" s="34" t="s">
        <v>43</v>
      </c>
      <c r="G42" s="34" t="s">
        <v>43</v>
      </c>
      <c r="H42" s="34" t="s">
        <v>43</v>
      </c>
      <c r="I42" s="34" t="s">
        <v>43</v>
      </c>
      <c r="J42" s="34" t="s">
        <v>43</v>
      </c>
      <c r="K42" s="34" t="s">
        <v>43</v>
      </c>
    </row>
    <row r="43">
      <c r="A43" s="35" t="s">
        <v>43</v>
      </c>
      <c r="B43" s="34" t="s">
        <v>43</v>
      </c>
      <c r="C43" s="35" t="s">
        <v>43</v>
      </c>
      <c r="D43" s="35" t="s">
        <v>45</v>
      </c>
      <c r="E43" s="34" t="s">
        <v>70</v>
      </c>
      <c r="F43" s="35" t="s">
        <v>43</v>
      </c>
      <c r="G43" s="34" t="s">
        <v>71</v>
      </c>
      <c r="H43" s="34" t="s">
        <v>43</v>
      </c>
      <c r="I43" s="35" t="n">
        <v>1.0</v>
      </c>
      <c r="J43" s="35"/>
      <c r="K43" s="37" t="n">
        <v>0.5</v>
      </c>
    </row>
    <row r="44">
      <c r="A44" s="35" t="s">
        <v>43</v>
      </c>
      <c r="B44" s="34" t="s">
        <v>43</v>
      </c>
      <c r="C44" s="35" t="s">
        <v>43</v>
      </c>
      <c r="D44" s="35" t="s">
        <v>43</v>
      </c>
      <c r="E44" s="34" t="s">
        <v>43</v>
      </c>
      <c r="F44" s="35" t="s">
        <v>43</v>
      </c>
      <c r="G44" s="34" t="s">
        <v>43</v>
      </c>
      <c r="H44" s="34" t="s">
        <v>43</v>
      </c>
      <c r="I44" s="35"/>
      <c r="J44" s="35"/>
      <c r="K44" s="37"/>
    </row>
    <row r="45">
      <c r="A45" s="35" t="s">
        <v>43</v>
      </c>
      <c r="B45" s="34" t="s">
        <v>43</v>
      </c>
      <c r="C45" s="35" t="s">
        <v>43</v>
      </c>
      <c r="D45" s="35" t="s">
        <v>43</v>
      </c>
      <c r="E45" s="34" t="s">
        <v>43</v>
      </c>
      <c r="F45" s="35" t="s">
        <v>43</v>
      </c>
      <c r="G45" s="34" t="s">
        <v>43</v>
      </c>
      <c r="H45" s="34" t="s">
        <v>43</v>
      </c>
      <c r="I45" s="35"/>
      <c r="J45" s="35"/>
      <c r="K45" s="37"/>
    </row>
    <row r="46">
      <c r="A46" s="44" t="s">
        <v>15</v>
      </c>
      <c r="B46" s="45" t="s">
        <v>16</v>
      </c>
      <c r="C46" s="46" t="s">
        <v>10</v>
      </c>
      <c r="D46" s="47" t="s">
        <v>6</v>
      </c>
      <c r="E46" s="48" t="s">
        <v>1</v>
      </c>
      <c r="F46" s="49" t="s">
        <v>2</v>
      </c>
      <c r="G46" s="50" t="s">
        <v>8</v>
      </c>
      <c r="H46" s="51" t="s">
        <v>9</v>
      </c>
      <c r="I46" s="52" t="s">
        <v>23</v>
      </c>
      <c r="J46" s="53" t="s">
        <v>11</v>
      </c>
      <c r="K46" s="54" t="s">
        <v>3</v>
      </c>
      <c r="L46" s="55" t="s">
        <v>72</v>
      </c>
      <c r="M46" s="56" t="s">
        <v>4</v>
      </c>
      <c r="N46" s="57">
        <f>SUM(K47:K63)</f>
      </c>
    </row>
    <row r="47">
      <c r="A47" s="35" t="s">
        <v>73</v>
      </c>
      <c r="B47" s="34" t="s">
        <v>74</v>
      </c>
      <c r="C47" s="35" t="s">
        <v>44</v>
      </c>
      <c r="D47" s="34" t="s">
        <v>43</v>
      </c>
      <c r="E47" s="34" t="s">
        <v>43</v>
      </c>
      <c r="F47" s="34" t="s">
        <v>43</v>
      </c>
      <c r="G47" s="34" t="s">
        <v>43</v>
      </c>
      <c r="H47" s="34" t="s">
        <v>43</v>
      </c>
      <c r="I47" s="34" t="s">
        <v>43</v>
      </c>
      <c r="J47" s="34" t="s">
        <v>43</v>
      </c>
      <c r="K47" s="34" t="s">
        <v>43</v>
      </c>
    </row>
    <row r="48">
      <c r="A48" s="35" t="s">
        <v>43</v>
      </c>
      <c r="B48" s="34" t="s">
        <v>43</v>
      </c>
      <c r="C48" s="35" t="s">
        <v>43</v>
      </c>
      <c r="D48" s="35" t="s">
        <v>45</v>
      </c>
      <c r="E48" s="34" t="s">
        <v>75</v>
      </c>
      <c r="F48" s="35" t="s">
        <v>43</v>
      </c>
      <c r="G48" s="34" t="s">
        <v>76</v>
      </c>
      <c r="H48" s="34" t="s">
        <v>43</v>
      </c>
      <c r="I48" s="35" t="n">
        <v>2.0</v>
      </c>
      <c r="J48" s="35"/>
      <c r="K48" s="37" t="n">
        <v>0.25</v>
      </c>
    </row>
    <row r="49">
      <c r="A49" s="35" t="s">
        <v>43</v>
      </c>
      <c r="B49" s="34" t="s">
        <v>43</v>
      </c>
      <c r="C49" s="35" t="s">
        <v>43</v>
      </c>
      <c r="D49" s="35" t="s">
        <v>45</v>
      </c>
      <c r="E49" s="34" t="s">
        <v>77</v>
      </c>
      <c r="F49" s="35" t="s">
        <v>43</v>
      </c>
      <c r="G49" s="34" t="s">
        <v>78</v>
      </c>
      <c r="H49" s="34" t="s">
        <v>43</v>
      </c>
      <c r="I49" s="35" t="n">
        <v>2.0</v>
      </c>
      <c r="J49" s="35"/>
      <c r="K49" s="37" t="n">
        <v>0.25</v>
      </c>
    </row>
    <row r="50">
      <c r="A50" s="35" t="s">
        <v>79</v>
      </c>
      <c r="B50" s="34" t="s">
        <v>27</v>
      </c>
      <c r="C50" s="35" t="s">
        <v>44</v>
      </c>
      <c r="D50" s="34" t="s">
        <v>43</v>
      </c>
      <c r="E50" s="34" t="s">
        <v>43</v>
      </c>
      <c r="F50" s="34" t="s">
        <v>43</v>
      </c>
      <c r="G50" s="34" t="s">
        <v>43</v>
      </c>
      <c r="H50" s="34" t="s">
        <v>43</v>
      </c>
      <c r="I50" s="34" t="s">
        <v>43</v>
      </c>
      <c r="J50" s="34" t="s">
        <v>43</v>
      </c>
      <c r="K50" s="34" t="s">
        <v>43</v>
      </c>
    </row>
    <row r="51">
      <c r="A51" s="35" t="s">
        <v>43</v>
      </c>
      <c r="B51" s="34" t="s">
        <v>43</v>
      </c>
      <c r="C51" s="35" t="s">
        <v>43</v>
      </c>
      <c r="D51" s="35" t="s">
        <v>45</v>
      </c>
      <c r="E51" s="34" t="s">
        <v>80</v>
      </c>
      <c r="F51" s="35" t="s">
        <v>43</v>
      </c>
      <c r="G51" s="34" t="s">
        <v>81</v>
      </c>
      <c r="H51" s="34" t="s">
        <v>43</v>
      </c>
      <c r="I51" s="35" t="n">
        <v>2.0</v>
      </c>
      <c r="J51" s="35"/>
      <c r="K51" s="37" t="n">
        <v>1.0</v>
      </c>
    </row>
    <row r="52">
      <c r="A52" s="35" t="s">
        <v>82</v>
      </c>
      <c r="B52" s="34" t="s">
        <v>83</v>
      </c>
      <c r="C52" s="35" t="s">
        <v>57</v>
      </c>
      <c r="D52" s="34" t="s">
        <v>43</v>
      </c>
      <c r="E52" s="34" t="s">
        <v>43</v>
      </c>
      <c r="F52" s="34" t="s">
        <v>43</v>
      </c>
      <c r="G52" s="34" t="s">
        <v>43</v>
      </c>
      <c r="H52" s="34" t="s">
        <v>43</v>
      </c>
      <c r="I52" s="34" t="s">
        <v>43</v>
      </c>
      <c r="J52" s="34" t="s">
        <v>43</v>
      </c>
      <c r="K52" s="34" t="s">
        <v>43</v>
      </c>
    </row>
    <row r="53">
      <c r="A53" s="35" t="s">
        <v>43</v>
      </c>
      <c r="B53" s="34" t="s">
        <v>43</v>
      </c>
      <c r="C53" s="35" t="s">
        <v>43</v>
      </c>
      <c r="D53" s="35" t="s">
        <v>45</v>
      </c>
      <c r="E53" s="34" t="s">
        <v>77</v>
      </c>
      <c r="F53" s="35" t="s">
        <v>43</v>
      </c>
      <c r="G53" s="34" t="s">
        <v>84</v>
      </c>
      <c r="H53" s="34" t="s">
        <v>43</v>
      </c>
      <c r="I53" s="35" t="n">
        <v>2.0</v>
      </c>
      <c r="J53" s="35"/>
      <c r="K53" s="37" t="n">
        <v>0.5</v>
      </c>
    </row>
    <row r="54">
      <c r="A54" s="35" t="s">
        <v>85</v>
      </c>
      <c r="B54" s="34" t="s">
        <v>86</v>
      </c>
      <c r="C54" s="35" t="s">
        <v>63</v>
      </c>
      <c r="D54" s="34" t="s">
        <v>43</v>
      </c>
      <c r="E54" s="34" t="s">
        <v>43</v>
      </c>
      <c r="F54" s="34" t="s">
        <v>43</v>
      </c>
      <c r="G54" s="34" t="s">
        <v>43</v>
      </c>
      <c r="H54" s="34" t="s">
        <v>43</v>
      </c>
      <c r="I54" s="34" t="s">
        <v>43</v>
      </c>
      <c r="J54" s="34" t="s">
        <v>43</v>
      </c>
      <c r="K54" s="34" t="s">
        <v>43</v>
      </c>
    </row>
    <row r="55">
      <c r="A55" s="35" t="s">
        <v>43</v>
      </c>
      <c r="B55" s="34" t="s">
        <v>43</v>
      </c>
      <c r="C55" s="35" t="s">
        <v>43</v>
      </c>
      <c r="D55" s="35" t="s">
        <v>45</v>
      </c>
      <c r="E55" s="34" t="s">
        <v>77</v>
      </c>
      <c r="F55" s="35" t="s">
        <v>43</v>
      </c>
      <c r="G55" s="34" t="s">
        <v>87</v>
      </c>
      <c r="H55" s="34" t="s">
        <v>43</v>
      </c>
      <c r="I55" s="35" t="n">
        <v>2.0</v>
      </c>
      <c r="J55" s="35"/>
      <c r="K55" s="37" t="n">
        <v>0.5</v>
      </c>
    </row>
    <row r="56">
      <c r="A56" s="35" t="s">
        <v>88</v>
      </c>
      <c r="B56" s="34" t="s">
        <v>30</v>
      </c>
      <c r="C56" s="35" t="s">
        <v>63</v>
      </c>
      <c r="D56" s="34" t="s">
        <v>43</v>
      </c>
      <c r="E56" s="34" t="s">
        <v>43</v>
      </c>
      <c r="F56" s="34" t="s">
        <v>43</v>
      </c>
      <c r="G56" s="34" t="s">
        <v>43</v>
      </c>
      <c r="H56" s="34" t="s">
        <v>43</v>
      </c>
      <c r="I56" s="34" t="s">
        <v>43</v>
      </c>
      <c r="J56" s="34" t="s">
        <v>43</v>
      </c>
      <c r="K56" s="34" t="s">
        <v>43</v>
      </c>
    </row>
    <row r="57">
      <c r="A57" s="35" t="s">
        <v>43</v>
      </c>
      <c r="B57" s="34" t="s">
        <v>43</v>
      </c>
      <c r="C57" s="35" t="s">
        <v>43</v>
      </c>
      <c r="D57" s="35" t="s">
        <v>45</v>
      </c>
      <c r="E57" s="34" t="s">
        <v>89</v>
      </c>
      <c r="F57" s="35" t="s">
        <v>43</v>
      </c>
      <c r="G57" s="34" t="s">
        <v>90</v>
      </c>
      <c r="H57" s="34" t="s">
        <v>43</v>
      </c>
      <c r="I57" s="35" t="n">
        <v>2.0</v>
      </c>
      <c r="J57" s="35"/>
      <c r="K57" s="37" t="n">
        <v>1.0</v>
      </c>
    </row>
    <row r="58">
      <c r="A58" s="35" t="s">
        <v>91</v>
      </c>
      <c r="B58" s="34" t="s">
        <v>92</v>
      </c>
      <c r="C58" s="35" t="s">
        <v>69</v>
      </c>
      <c r="D58" s="34" t="s">
        <v>43</v>
      </c>
      <c r="E58" s="34" t="s">
        <v>43</v>
      </c>
      <c r="F58" s="34" t="s">
        <v>43</v>
      </c>
      <c r="G58" s="34" t="s">
        <v>43</v>
      </c>
      <c r="H58" s="34" t="s">
        <v>43</v>
      </c>
      <c r="I58" s="34" t="s">
        <v>43</v>
      </c>
      <c r="J58" s="34" t="s">
        <v>43</v>
      </c>
      <c r="K58" s="34" t="s">
        <v>43</v>
      </c>
    </row>
    <row r="59">
      <c r="A59" s="35" t="s">
        <v>43</v>
      </c>
      <c r="B59" s="34" t="s">
        <v>43</v>
      </c>
      <c r="C59" s="35" t="s">
        <v>43</v>
      </c>
      <c r="D59" s="35" t="s">
        <v>45</v>
      </c>
      <c r="E59" s="34" t="s">
        <v>77</v>
      </c>
      <c r="F59" s="35" t="s">
        <v>43</v>
      </c>
      <c r="G59" s="34" t="s">
        <v>93</v>
      </c>
      <c r="H59" s="34" t="s">
        <v>43</v>
      </c>
      <c r="I59" s="35" t="n">
        <v>2.0</v>
      </c>
      <c r="J59" s="35"/>
      <c r="K59" s="37" t="n">
        <v>0.5</v>
      </c>
    </row>
    <row r="60">
      <c r="A60" s="35" t="s">
        <v>94</v>
      </c>
      <c r="B60" s="34" t="s">
        <v>32</v>
      </c>
      <c r="C60" s="35" t="s">
        <v>69</v>
      </c>
      <c r="D60" s="34" t="s">
        <v>43</v>
      </c>
      <c r="E60" s="34" t="s">
        <v>43</v>
      </c>
      <c r="F60" s="34" t="s">
        <v>43</v>
      </c>
      <c r="G60" s="34" t="s">
        <v>43</v>
      </c>
      <c r="H60" s="34" t="s">
        <v>43</v>
      </c>
      <c r="I60" s="34" t="s">
        <v>43</v>
      </c>
      <c r="J60" s="34" t="s">
        <v>43</v>
      </c>
      <c r="K60" s="34" t="s">
        <v>43</v>
      </c>
    </row>
    <row r="61">
      <c r="A61" s="35" t="s">
        <v>43</v>
      </c>
      <c r="B61" s="34" t="s">
        <v>43</v>
      </c>
      <c r="C61" s="35" t="s">
        <v>43</v>
      </c>
      <c r="D61" s="35" t="s">
        <v>45</v>
      </c>
      <c r="E61" s="34" t="s">
        <v>95</v>
      </c>
      <c r="F61" s="35" t="s">
        <v>43</v>
      </c>
      <c r="G61" s="34" t="s">
        <v>96</v>
      </c>
      <c r="H61" s="34" t="s">
        <v>43</v>
      </c>
      <c r="I61" s="35" t="n">
        <v>2.0</v>
      </c>
      <c r="J61" s="35"/>
      <c r="K61" s="37" t="n">
        <v>1.0</v>
      </c>
    </row>
    <row r="62">
      <c r="A62" s="35" t="s">
        <v>43</v>
      </c>
      <c r="B62" s="34" t="s">
        <v>43</v>
      </c>
      <c r="C62" s="35" t="s">
        <v>43</v>
      </c>
      <c r="D62" s="35" t="s">
        <v>43</v>
      </c>
      <c r="E62" s="34" t="s">
        <v>43</v>
      </c>
      <c r="F62" s="35" t="s">
        <v>43</v>
      </c>
      <c r="G62" s="34" t="s">
        <v>43</v>
      </c>
      <c r="H62" s="34" t="s">
        <v>43</v>
      </c>
      <c r="I62" s="35"/>
      <c r="J62" s="35"/>
      <c r="K62" s="37"/>
    </row>
    <row r="63">
      <c r="A63" s="35" t="s">
        <v>43</v>
      </c>
      <c r="B63" s="34" t="s">
        <v>43</v>
      </c>
      <c r="C63" s="35" t="s">
        <v>43</v>
      </c>
      <c r="D63" s="35" t="s">
        <v>43</v>
      </c>
      <c r="E63" s="34" t="s">
        <v>43</v>
      </c>
      <c r="F63" s="35" t="s">
        <v>43</v>
      </c>
      <c r="G63" s="34" t="s">
        <v>43</v>
      </c>
      <c r="H63" s="34" t="s">
        <v>43</v>
      </c>
      <c r="I63" s="35"/>
      <c r="J63" s="35"/>
      <c r="K63" s="37"/>
    </row>
    <row r="64">
      <c r="A64" s="58" t="s">
        <v>15</v>
      </c>
      <c r="B64" s="59" t="s">
        <v>16</v>
      </c>
      <c r="C64" s="60" t="s">
        <v>10</v>
      </c>
      <c r="D64" s="61" t="s">
        <v>6</v>
      </c>
      <c r="E64" s="62" t="s">
        <v>1</v>
      </c>
      <c r="F64" s="63" t="s">
        <v>2</v>
      </c>
      <c r="G64" s="64" t="s">
        <v>8</v>
      </c>
      <c r="H64" s="65" t="s">
        <v>9</v>
      </c>
      <c r="I64" s="66" t="s">
        <v>23</v>
      </c>
      <c r="J64" s="67" t="s">
        <v>11</v>
      </c>
      <c r="K64" s="68" t="s">
        <v>3</v>
      </c>
      <c r="L64" s="69" t="s">
        <v>97</v>
      </c>
      <c r="M64" s="70" t="s">
        <v>4</v>
      </c>
      <c r="N64" s="71">
        <f>SUM(K65:K107)</f>
      </c>
    </row>
    <row r="65">
      <c r="A65" s="35" t="s">
        <v>98</v>
      </c>
      <c r="B65" s="34" t="s">
        <v>99</v>
      </c>
      <c r="C65" s="35" t="s">
        <v>44</v>
      </c>
      <c r="D65" s="34" t="s">
        <v>43</v>
      </c>
      <c r="E65" s="34" t="s">
        <v>43</v>
      </c>
      <c r="F65" s="34" t="s">
        <v>43</v>
      </c>
      <c r="G65" s="34" t="s">
        <v>43</v>
      </c>
      <c r="H65" s="34" t="s">
        <v>43</v>
      </c>
      <c r="I65" s="34" t="s">
        <v>43</v>
      </c>
      <c r="J65" s="34" t="s">
        <v>43</v>
      </c>
      <c r="K65" s="34" t="s">
        <v>43</v>
      </c>
    </row>
    <row r="66">
      <c r="A66" s="35" t="s">
        <v>43</v>
      </c>
      <c r="B66" s="34" t="s">
        <v>43</v>
      </c>
      <c r="C66" s="35" t="s">
        <v>43</v>
      </c>
      <c r="D66" s="35" t="s">
        <v>45</v>
      </c>
      <c r="E66" s="34" t="s">
        <v>100</v>
      </c>
      <c r="F66" s="35" t="s">
        <v>43</v>
      </c>
      <c r="G66" s="34" t="s">
        <v>101</v>
      </c>
      <c r="H66" s="34" t="s">
        <v>43</v>
      </c>
      <c r="I66" s="35" t="n">
        <v>3.0</v>
      </c>
      <c r="J66" s="35"/>
      <c r="K66" s="37" t="n">
        <v>1.0</v>
      </c>
    </row>
    <row r="67">
      <c r="A67" s="35" t="s">
        <v>43</v>
      </c>
      <c r="B67" s="34" t="s">
        <v>43</v>
      </c>
      <c r="C67" s="35" t="s">
        <v>43</v>
      </c>
      <c r="D67" s="35" t="s">
        <v>45</v>
      </c>
      <c r="E67" s="34" t="s">
        <v>102</v>
      </c>
      <c r="F67" s="35" t="s">
        <v>43</v>
      </c>
      <c r="G67" s="34" t="s">
        <v>103</v>
      </c>
      <c r="H67" s="34" t="s">
        <v>43</v>
      </c>
      <c r="I67" s="35" t="n">
        <v>3.0</v>
      </c>
      <c r="J67" s="35"/>
      <c r="K67" s="37" t="n">
        <v>1.0</v>
      </c>
    </row>
    <row r="68">
      <c r="A68" s="35" t="s">
        <v>43</v>
      </c>
      <c r="B68" s="34" t="s">
        <v>43</v>
      </c>
      <c r="C68" s="35" t="s">
        <v>43</v>
      </c>
      <c r="D68" s="35" t="s">
        <v>45</v>
      </c>
      <c r="E68" s="34" t="s">
        <v>104</v>
      </c>
      <c r="F68" s="35" t="s">
        <v>43</v>
      </c>
      <c r="G68" s="34" t="s">
        <v>105</v>
      </c>
      <c r="H68" s="34" t="s">
        <v>43</v>
      </c>
      <c r="I68" s="35" t="n">
        <v>3.0</v>
      </c>
      <c r="J68" s="35"/>
      <c r="K68" s="37" t="n">
        <v>0.25</v>
      </c>
    </row>
    <row r="69">
      <c r="A69" s="35" t="s">
        <v>43</v>
      </c>
      <c r="B69" s="34" t="s">
        <v>43</v>
      </c>
      <c r="C69" s="35" t="s">
        <v>43</v>
      </c>
      <c r="D69" s="35" t="s">
        <v>45</v>
      </c>
      <c r="E69" s="34" t="s">
        <v>106</v>
      </c>
      <c r="F69" s="35" t="s">
        <v>43</v>
      </c>
      <c r="G69" s="34" t="s">
        <v>107</v>
      </c>
      <c r="H69" s="34" t="s">
        <v>43</v>
      </c>
      <c r="I69" s="35" t="n">
        <v>3.0</v>
      </c>
      <c r="J69" s="35"/>
      <c r="K69" s="37" t="n">
        <v>0.25</v>
      </c>
    </row>
    <row r="70">
      <c r="A70" s="35" t="s">
        <v>43</v>
      </c>
      <c r="B70" s="34" t="s">
        <v>43</v>
      </c>
      <c r="C70" s="35" t="s">
        <v>43</v>
      </c>
      <c r="D70" s="35" t="s">
        <v>45</v>
      </c>
      <c r="E70" s="34" t="s">
        <v>108</v>
      </c>
      <c r="F70" s="35" t="s">
        <v>43</v>
      </c>
      <c r="G70" s="34" t="s">
        <v>105</v>
      </c>
      <c r="H70" s="34" t="s">
        <v>43</v>
      </c>
      <c r="I70" s="35" t="n">
        <v>3.0</v>
      </c>
      <c r="J70" s="35"/>
      <c r="K70" s="37" t="n">
        <v>0.25</v>
      </c>
    </row>
    <row r="71">
      <c r="A71" s="35" t="s">
        <v>43</v>
      </c>
      <c r="B71" s="34" t="s">
        <v>43</v>
      </c>
      <c r="C71" s="35" t="s">
        <v>43</v>
      </c>
      <c r="D71" s="35" t="s">
        <v>45</v>
      </c>
      <c r="E71" s="34" t="s">
        <v>109</v>
      </c>
      <c r="F71" s="35" t="s">
        <v>43</v>
      </c>
      <c r="G71" s="34" t="s">
        <v>107</v>
      </c>
      <c r="H71" s="34" t="s">
        <v>43</v>
      </c>
      <c r="I71" s="35" t="n">
        <v>3.0</v>
      </c>
      <c r="J71" s="35"/>
      <c r="K71" s="37" t="n">
        <v>0.25</v>
      </c>
    </row>
    <row r="72">
      <c r="A72" s="35" t="s">
        <v>43</v>
      </c>
      <c r="B72" s="34" t="s">
        <v>43</v>
      </c>
      <c r="C72" s="35" t="s">
        <v>43</v>
      </c>
      <c r="D72" s="35" t="s">
        <v>45</v>
      </c>
      <c r="E72" s="34" t="s">
        <v>110</v>
      </c>
      <c r="F72" s="35" t="s">
        <v>43</v>
      </c>
      <c r="G72" s="34" t="s">
        <v>111</v>
      </c>
      <c r="H72" s="34" t="s">
        <v>43</v>
      </c>
      <c r="I72" s="35" t="n">
        <v>3.0</v>
      </c>
      <c r="J72" s="35"/>
      <c r="K72" s="37" t="n">
        <v>1.0</v>
      </c>
    </row>
    <row r="73">
      <c r="A73" s="35" t="s">
        <v>43</v>
      </c>
      <c r="B73" s="34" t="s">
        <v>43</v>
      </c>
      <c r="C73" s="35" t="s">
        <v>43</v>
      </c>
      <c r="D73" s="35" t="s">
        <v>45</v>
      </c>
      <c r="E73" s="34" t="s">
        <v>112</v>
      </c>
      <c r="F73" s="35" t="s">
        <v>43</v>
      </c>
      <c r="G73" s="34" t="s">
        <v>113</v>
      </c>
      <c r="H73" s="34" t="s">
        <v>43</v>
      </c>
      <c r="I73" s="35" t="n">
        <v>3.0</v>
      </c>
      <c r="J73" s="35"/>
      <c r="K73" s="37" t="n">
        <v>0.5</v>
      </c>
    </row>
    <row r="74">
      <c r="A74" s="35" t="s">
        <v>43</v>
      </c>
      <c r="B74" s="34" t="s">
        <v>43</v>
      </c>
      <c r="C74" s="35" t="s">
        <v>43</v>
      </c>
      <c r="D74" s="35" t="s">
        <v>45</v>
      </c>
      <c r="E74" s="34" t="s">
        <v>114</v>
      </c>
      <c r="F74" s="35" t="s">
        <v>43</v>
      </c>
      <c r="G74" s="34" t="s">
        <v>115</v>
      </c>
      <c r="H74" s="34" t="s">
        <v>43</v>
      </c>
      <c r="I74" s="35" t="n">
        <v>3.0</v>
      </c>
      <c r="J74" s="35"/>
      <c r="K74" s="37" t="n">
        <v>0.5</v>
      </c>
    </row>
    <row r="75">
      <c r="A75" s="35" t="s">
        <v>116</v>
      </c>
      <c r="B75" s="34" t="s">
        <v>117</v>
      </c>
      <c r="C75" s="35" t="s">
        <v>44</v>
      </c>
      <c r="D75" s="34" t="s">
        <v>43</v>
      </c>
      <c r="E75" s="34" t="s">
        <v>43</v>
      </c>
      <c r="F75" s="34" t="s">
        <v>43</v>
      </c>
      <c r="G75" s="34" t="s">
        <v>43</v>
      </c>
      <c r="H75" s="34" t="s">
        <v>43</v>
      </c>
      <c r="I75" s="34" t="s">
        <v>43</v>
      </c>
      <c r="J75" s="34" t="s">
        <v>43</v>
      </c>
      <c r="K75" s="34" t="s">
        <v>43</v>
      </c>
    </row>
    <row r="76">
      <c r="A76" s="35" t="s">
        <v>43</v>
      </c>
      <c r="B76" s="34" t="s">
        <v>43</v>
      </c>
      <c r="C76" s="35" t="s">
        <v>43</v>
      </c>
      <c r="D76" s="35" t="s">
        <v>118</v>
      </c>
      <c r="E76" s="34" t="s">
        <v>119</v>
      </c>
      <c r="F76" s="35" t="s">
        <v>43</v>
      </c>
      <c r="G76" s="34" t="s">
        <v>43</v>
      </c>
      <c r="H76" s="34" t="s">
        <v>43</v>
      </c>
      <c r="I76" s="35" t="n">
        <v>3.0</v>
      </c>
      <c r="J76" s="35"/>
      <c r="K76" s="37" t="n">
        <v>2.0</v>
      </c>
    </row>
    <row r="77">
      <c r="A77" s="35" t="s">
        <v>43</v>
      </c>
      <c r="B77" s="34" t="s">
        <v>43</v>
      </c>
      <c r="C77" s="35" t="s">
        <v>43</v>
      </c>
      <c r="D77" s="35" t="s">
        <v>43</v>
      </c>
      <c r="E77" s="34" t="s">
        <v>43</v>
      </c>
      <c r="F77" s="35" t="n">
        <v>0.0</v>
      </c>
      <c r="G77" s="34" t="s">
        <v>120</v>
      </c>
      <c r="H77" s="34" t="s">
        <v>43</v>
      </c>
      <c r="I77" s="35"/>
      <c r="J77" s="35"/>
      <c r="K77" s="37"/>
    </row>
    <row r="78">
      <c r="A78" s="35" t="s">
        <v>43</v>
      </c>
      <c r="B78" s="34" t="s">
        <v>43</v>
      </c>
      <c r="C78" s="35" t="s">
        <v>43</v>
      </c>
      <c r="D78" s="35" t="s">
        <v>43</v>
      </c>
      <c r="E78" s="34" t="s">
        <v>43</v>
      </c>
      <c r="F78" s="35" t="n">
        <v>1.0</v>
      </c>
      <c r="G78" s="34" t="s">
        <v>121</v>
      </c>
      <c r="H78" s="34" t="s">
        <v>43</v>
      </c>
      <c r="I78" s="35"/>
      <c r="J78" s="35"/>
      <c r="K78" s="37"/>
    </row>
    <row r="79">
      <c r="A79" s="35" t="s">
        <v>43</v>
      </c>
      <c r="B79" s="34" t="s">
        <v>43</v>
      </c>
      <c r="C79" s="35" t="s">
        <v>43</v>
      </c>
      <c r="D79" s="35" t="s">
        <v>43</v>
      </c>
      <c r="E79" s="34" t="s">
        <v>43</v>
      </c>
      <c r="F79" s="35" t="n">
        <v>2.0</v>
      </c>
      <c r="G79" s="34" t="s">
        <v>122</v>
      </c>
      <c r="H79" s="34" t="s">
        <v>43</v>
      </c>
      <c r="I79" s="35"/>
      <c r="J79" s="35"/>
      <c r="K79" s="37"/>
    </row>
    <row r="80">
      <c r="A80" s="35" t="s">
        <v>43</v>
      </c>
      <c r="B80" s="34" t="s">
        <v>43</v>
      </c>
      <c r="C80" s="35" t="s">
        <v>43</v>
      </c>
      <c r="D80" s="35" t="s">
        <v>43</v>
      </c>
      <c r="E80" s="34" t="s">
        <v>43</v>
      </c>
      <c r="F80" s="35" t="n">
        <v>3.0</v>
      </c>
      <c r="G80" s="34" t="s">
        <v>123</v>
      </c>
      <c r="H80" s="34" t="s">
        <v>43</v>
      </c>
      <c r="I80" s="35"/>
      <c r="J80" s="35"/>
      <c r="K80" s="37"/>
    </row>
    <row r="81">
      <c r="A81" s="35" t="s">
        <v>43</v>
      </c>
      <c r="B81" s="34" t="s">
        <v>43</v>
      </c>
      <c r="C81" s="35" t="s">
        <v>43</v>
      </c>
      <c r="D81" s="35" t="s">
        <v>118</v>
      </c>
      <c r="E81" s="34" t="s">
        <v>124</v>
      </c>
      <c r="F81" s="35" t="s">
        <v>43</v>
      </c>
      <c r="G81" s="34" t="s">
        <v>43</v>
      </c>
      <c r="H81" s="34" t="s">
        <v>43</v>
      </c>
      <c r="I81" s="35" t="n">
        <v>3.0</v>
      </c>
      <c r="J81" s="35"/>
      <c r="K81" s="37" t="n">
        <v>2.0</v>
      </c>
    </row>
    <row r="82">
      <c r="A82" s="35" t="s">
        <v>43</v>
      </c>
      <c r="B82" s="34" t="s">
        <v>43</v>
      </c>
      <c r="C82" s="35" t="s">
        <v>43</v>
      </c>
      <c r="D82" s="35" t="s">
        <v>43</v>
      </c>
      <c r="E82" s="34" t="s">
        <v>43</v>
      </c>
      <c r="F82" s="35" t="n">
        <v>0.0</v>
      </c>
      <c r="G82" s="34" t="s">
        <v>125</v>
      </c>
      <c r="H82" s="34" t="s">
        <v>43</v>
      </c>
      <c r="I82" s="35"/>
      <c r="J82" s="35"/>
      <c r="K82" s="37"/>
    </row>
    <row r="83">
      <c r="A83" s="35" t="s">
        <v>43</v>
      </c>
      <c r="B83" s="34" t="s">
        <v>43</v>
      </c>
      <c r="C83" s="35" t="s">
        <v>43</v>
      </c>
      <c r="D83" s="35" t="s">
        <v>43</v>
      </c>
      <c r="E83" s="34" t="s">
        <v>43</v>
      </c>
      <c r="F83" s="35" t="n">
        <v>1.0</v>
      </c>
      <c r="G83" s="34" t="s">
        <v>126</v>
      </c>
      <c r="H83" s="34" t="s">
        <v>43</v>
      </c>
      <c r="I83" s="35"/>
      <c r="J83" s="35"/>
      <c r="K83" s="37"/>
    </row>
    <row r="84">
      <c r="A84" s="35" t="s">
        <v>43</v>
      </c>
      <c r="B84" s="34" t="s">
        <v>43</v>
      </c>
      <c r="C84" s="35" t="s">
        <v>43</v>
      </c>
      <c r="D84" s="35" t="s">
        <v>43</v>
      </c>
      <c r="E84" s="34" t="s">
        <v>43</v>
      </c>
      <c r="F84" s="35" t="n">
        <v>2.0</v>
      </c>
      <c r="G84" s="34" t="s">
        <v>127</v>
      </c>
      <c r="H84" s="34" t="s">
        <v>43</v>
      </c>
      <c r="I84" s="35"/>
      <c r="J84" s="35"/>
      <c r="K84" s="37"/>
    </row>
    <row r="85">
      <c r="A85" s="35" t="s">
        <v>43</v>
      </c>
      <c r="B85" s="34" t="s">
        <v>43</v>
      </c>
      <c r="C85" s="35" t="s">
        <v>43</v>
      </c>
      <c r="D85" s="35" t="s">
        <v>43</v>
      </c>
      <c r="E85" s="34" t="s">
        <v>43</v>
      </c>
      <c r="F85" s="35" t="n">
        <v>3.0</v>
      </c>
      <c r="G85" s="34" t="s">
        <v>128</v>
      </c>
      <c r="H85" s="34" t="s">
        <v>43</v>
      </c>
      <c r="I85" s="35"/>
      <c r="J85" s="35"/>
      <c r="K85" s="37"/>
    </row>
    <row r="86">
      <c r="A86" s="35" t="s">
        <v>43</v>
      </c>
      <c r="B86" s="34" t="s">
        <v>43</v>
      </c>
      <c r="C86" s="35" t="s">
        <v>43</v>
      </c>
      <c r="D86" s="35" t="s">
        <v>118</v>
      </c>
      <c r="E86" s="34" t="s">
        <v>129</v>
      </c>
      <c r="F86" s="35" t="s">
        <v>43</v>
      </c>
      <c r="G86" s="34" t="s">
        <v>43</v>
      </c>
      <c r="H86" s="34" t="s">
        <v>43</v>
      </c>
      <c r="I86" s="35" t="n">
        <v>3.0</v>
      </c>
      <c r="J86" s="35"/>
      <c r="K86" s="37" t="n">
        <v>2.0</v>
      </c>
    </row>
    <row r="87">
      <c r="A87" s="35" t="s">
        <v>43</v>
      </c>
      <c r="B87" s="34" t="s">
        <v>43</v>
      </c>
      <c r="C87" s="35" t="s">
        <v>43</v>
      </c>
      <c r="D87" s="35" t="s">
        <v>43</v>
      </c>
      <c r="E87" s="34" t="s">
        <v>43</v>
      </c>
      <c r="F87" s="35" t="n">
        <v>0.0</v>
      </c>
      <c r="G87" s="34" t="s">
        <v>130</v>
      </c>
      <c r="H87" s="34" t="s">
        <v>43</v>
      </c>
      <c r="I87" s="35"/>
      <c r="J87" s="35"/>
      <c r="K87" s="37"/>
    </row>
    <row r="88">
      <c r="A88" s="35" t="s">
        <v>43</v>
      </c>
      <c r="B88" s="34" t="s">
        <v>43</v>
      </c>
      <c r="C88" s="35" t="s">
        <v>43</v>
      </c>
      <c r="D88" s="35" t="s">
        <v>43</v>
      </c>
      <c r="E88" s="34" t="s">
        <v>43</v>
      </c>
      <c r="F88" s="35" t="n">
        <v>1.0</v>
      </c>
      <c r="G88" s="34" t="s">
        <v>131</v>
      </c>
      <c r="H88" s="34" t="s">
        <v>43</v>
      </c>
      <c r="I88" s="35"/>
      <c r="J88" s="35"/>
      <c r="K88" s="37"/>
    </row>
    <row r="89">
      <c r="A89" s="35" t="s">
        <v>43</v>
      </c>
      <c r="B89" s="34" t="s">
        <v>43</v>
      </c>
      <c r="C89" s="35" t="s">
        <v>43</v>
      </c>
      <c r="D89" s="35" t="s">
        <v>43</v>
      </c>
      <c r="E89" s="34" t="s">
        <v>43</v>
      </c>
      <c r="F89" s="35" t="n">
        <v>2.0</v>
      </c>
      <c r="G89" s="34" t="s">
        <v>132</v>
      </c>
      <c r="H89" s="34" t="s">
        <v>43</v>
      </c>
      <c r="I89" s="35"/>
      <c r="J89" s="35"/>
      <c r="K89" s="37"/>
    </row>
    <row r="90">
      <c r="A90" s="35" t="s">
        <v>43</v>
      </c>
      <c r="B90" s="34" t="s">
        <v>43</v>
      </c>
      <c r="C90" s="35" t="s">
        <v>43</v>
      </c>
      <c r="D90" s="35" t="s">
        <v>43</v>
      </c>
      <c r="E90" s="34" t="s">
        <v>43</v>
      </c>
      <c r="F90" s="35" t="n">
        <v>3.0</v>
      </c>
      <c r="G90" s="34" t="s">
        <v>133</v>
      </c>
      <c r="H90" s="34" t="s">
        <v>43</v>
      </c>
      <c r="I90" s="35"/>
      <c r="J90" s="35"/>
      <c r="K90" s="37"/>
    </row>
    <row r="91">
      <c r="A91" s="35" t="s">
        <v>43</v>
      </c>
      <c r="B91" s="34" t="s">
        <v>43</v>
      </c>
      <c r="C91" s="35" t="s">
        <v>43</v>
      </c>
      <c r="D91" s="35" t="s">
        <v>118</v>
      </c>
      <c r="E91" s="34" t="s">
        <v>134</v>
      </c>
      <c r="F91" s="35" t="s">
        <v>43</v>
      </c>
      <c r="G91" s="34" t="s">
        <v>43</v>
      </c>
      <c r="H91" s="34" t="s">
        <v>43</v>
      </c>
      <c r="I91" s="35" t="n">
        <v>3.0</v>
      </c>
      <c r="J91" s="35"/>
      <c r="K91" s="37" t="n">
        <v>1.0</v>
      </c>
    </row>
    <row r="92">
      <c r="A92" s="35" t="s">
        <v>43</v>
      </c>
      <c r="B92" s="34" t="s">
        <v>43</v>
      </c>
      <c r="C92" s="35" t="s">
        <v>43</v>
      </c>
      <c r="D92" s="35" t="s">
        <v>43</v>
      </c>
      <c r="E92" s="34" t="s">
        <v>43</v>
      </c>
      <c r="F92" s="35" t="n">
        <v>0.0</v>
      </c>
      <c r="G92" s="34" t="s">
        <v>135</v>
      </c>
      <c r="H92" s="34" t="s">
        <v>43</v>
      </c>
      <c r="I92" s="35"/>
      <c r="J92" s="35"/>
      <c r="K92" s="37"/>
    </row>
    <row r="93">
      <c r="A93" s="35" t="s">
        <v>43</v>
      </c>
      <c r="B93" s="34" t="s">
        <v>43</v>
      </c>
      <c r="C93" s="35" t="s">
        <v>43</v>
      </c>
      <c r="D93" s="35" t="s">
        <v>43</v>
      </c>
      <c r="E93" s="34" t="s">
        <v>43</v>
      </c>
      <c r="F93" s="35" t="n">
        <v>1.0</v>
      </c>
      <c r="G93" s="34" t="s">
        <v>136</v>
      </c>
      <c r="H93" s="34" t="s">
        <v>43</v>
      </c>
      <c r="I93" s="35"/>
      <c r="J93" s="35"/>
      <c r="K93" s="37"/>
    </row>
    <row r="94">
      <c r="A94" s="35" t="s">
        <v>43</v>
      </c>
      <c r="B94" s="34" t="s">
        <v>43</v>
      </c>
      <c r="C94" s="35" t="s">
        <v>43</v>
      </c>
      <c r="D94" s="35" t="s">
        <v>43</v>
      </c>
      <c r="E94" s="34" t="s">
        <v>43</v>
      </c>
      <c r="F94" s="35" t="n">
        <v>2.0</v>
      </c>
      <c r="G94" s="34" t="s">
        <v>137</v>
      </c>
      <c r="H94" s="34" t="s">
        <v>43</v>
      </c>
      <c r="I94" s="35"/>
      <c r="J94" s="35"/>
      <c r="K94" s="37"/>
    </row>
    <row r="95">
      <c r="A95" s="35" t="s">
        <v>43</v>
      </c>
      <c r="B95" s="34" t="s">
        <v>43</v>
      </c>
      <c r="C95" s="35" t="s">
        <v>43</v>
      </c>
      <c r="D95" s="35" t="s">
        <v>43</v>
      </c>
      <c r="E95" s="34" t="s">
        <v>43</v>
      </c>
      <c r="F95" s="35" t="n">
        <v>3.0</v>
      </c>
      <c r="G95" s="34" t="s">
        <v>138</v>
      </c>
      <c r="H95" s="34" t="s">
        <v>43</v>
      </c>
      <c r="I95" s="35"/>
      <c r="J95" s="35"/>
      <c r="K95" s="37"/>
    </row>
    <row r="96">
      <c r="A96" s="35" t="s">
        <v>43</v>
      </c>
      <c r="B96" s="34" t="s">
        <v>43</v>
      </c>
      <c r="C96" s="35" t="s">
        <v>43</v>
      </c>
      <c r="D96" s="35" t="s">
        <v>118</v>
      </c>
      <c r="E96" s="34" t="s">
        <v>139</v>
      </c>
      <c r="F96" s="35" t="s">
        <v>43</v>
      </c>
      <c r="G96" s="34" t="s">
        <v>43</v>
      </c>
      <c r="H96" s="34" t="s">
        <v>43</v>
      </c>
      <c r="I96" s="35" t="n">
        <v>3.0</v>
      </c>
      <c r="J96" s="35"/>
      <c r="K96" s="37" t="n">
        <v>2.0</v>
      </c>
    </row>
    <row r="97">
      <c r="A97" s="35" t="s">
        <v>43</v>
      </c>
      <c r="B97" s="34" t="s">
        <v>43</v>
      </c>
      <c r="C97" s="35" t="s">
        <v>43</v>
      </c>
      <c r="D97" s="35" t="s">
        <v>43</v>
      </c>
      <c r="E97" s="34" t="s">
        <v>43</v>
      </c>
      <c r="F97" s="35" t="n">
        <v>0.0</v>
      </c>
      <c r="G97" s="34" t="s">
        <v>140</v>
      </c>
      <c r="H97" s="34" t="s">
        <v>43</v>
      </c>
      <c r="I97" s="35"/>
      <c r="J97" s="35"/>
      <c r="K97" s="37"/>
    </row>
    <row r="98">
      <c r="A98" s="35" t="s">
        <v>43</v>
      </c>
      <c r="B98" s="34" t="s">
        <v>43</v>
      </c>
      <c r="C98" s="35" t="s">
        <v>43</v>
      </c>
      <c r="D98" s="35" t="s">
        <v>43</v>
      </c>
      <c r="E98" s="34" t="s">
        <v>43</v>
      </c>
      <c r="F98" s="35" t="n">
        <v>1.0</v>
      </c>
      <c r="G98" s="34" t="s">
        <v>141</v>
      </c>
      <c r="H98" s="34" t="s">
        <v>43</v>
      </c>
      <c r="I98" s="35"/>
      <c r="J98" s="35"/>
      <c r="K98" s="37"/>
    </row>
    <row r="99">
      <c r="A99" s="35" t="s">
        <v>43</v>
      </c>
      <c r="B99" s="34" t="s">
        <v>43</v>
      </c>
      <c r="C99" s="35" t="s">
        <v>43</v>
      </c>
      <c r="D99" s="35" t="s">
        <v>43</v>
      </c>
      <c r="E99" s="34" t="s">
        <v>43</v>
      </c>
      <c r="F99" s="35" t="n">
        <v>2.0</v>
      </c>
      <c r="G99" s="34" t="s">
        <v>142</v>
      </c>
      <c r="H99" s="34" t="s">
        <v>43</v>
      </c>
      <c r="I99" s="35"/>
      <c r="J99" s="35"/>
      <c r="K99" s="37"/>
    </row>
    <row r="100">
      <c r="A100" s="35" t="s">
        <v>43</v>
      </c>
      <c r="B100" s="34" t="s">
        <v>43</v>
      </c>
      <c r="C100" s="35" t="s">
        <v>43</v>
      </c>
      <c r="D100" s="35" t="s">
        <v>43</v>
      </c>
      <c r="E100" s="34" t="s">
        <v>43</v>
      </c>
      <c r="F100" s="35" t="n">
        <v>3.0</v>
      </c>
      <c r="G100" s="34" t="s">
        <v>143</v>
      </c>
      <c r="H100" s="34" t="s">
        <v>43</v>
      </c>
      <c r="I100" s="35"/>
      <c r="J100" s="35"/>
      <c r="K100" s="37"/>
    </row>
    <row r="101">
      <c r="A101" s="35" t="s">
        <v>43</v>
      </c>
      <c r="B101" s="34" t="s">
        <v>43</v>
      </c>
      <c r="C101" s="35" t="s">
        <v>43</v>
      </c>
      <c r="D101" s="35" t="s">
        <v>118</v>
      </c>
      <c r="E101" s="34" t="s">
        <v>144</v>
      </c>
      <c r="F101" s="35" t="s">
        <v>43</v>
      </c>
      <c r="G101" s="34" t="s">
        <v>43</v>
      </c>
      <c r="H101" s="34" t="s">
        <v>43</v>
      </c>
      <c r="I101" s="35" t="n">
        <v>3.0</v>
      </c>
      <c r="J101" s="35"/>
      <c r="K101" s="37" t="n">
        <v>1.0</v>
      </c>
    </row>
    <row r="102">
      <c r="A102" s="35" t="s">
        <v>43</v>
      </c>
      <c r="B102" s="34" t="s">
        <v>43</v>
      </c>
      <c r="C102" s="35" t="s">
        <v>43</v>
      </c>
      <c r="D102" s="35" t="s">
        <v>43</v>
      </c>
      <c r="E102" s="34" t="s">
        <v>43</v>
      </c>
      <c r="F102" s="35" t="n">
        <v>0.0</v>
      </c>
      <c r="G102" s="34" t="s">
        <v>145</v>
      </c>
      <c r="H102" s="34" t="s">
        <v>43</v>
      </c>
      <c r="I102" s="35"/>
      <c r="J102" s="35"/>
      <c r="K102" s="37"/>
    </row>
    <row r="103">
      <c r="A103" s="35" t="s">
        <v>43</v>
      </c>
      <c r="B103" s="34" t="s">
        <v>43</v>
      </c>
      <c r="C103" s="35" t="s">
        <v>43</v>
      </c>
      <c r="D103" s="35" t="s">
        <v>43</v>
      </c>
      <c r="E103" s="34" t="s">
        <v>43</v>
      </c>
      <c r="F103" s="35" t="n">
        <v>1.0</v>
      </c>
      <c r="G103" s="34" t="s">
        <v>146</v>
      </c>
      <c r="H103" s="34" t="s">
        <v>43</v>
      </c>
      <c r="I103" s="35"/>
      <c r="J103" s="35"/>
      <c r="K103" s="37"/>
    </row>
    <row r="104">
      <c r="A104" s="35" t="s">
        <v>43</v>
      </c>
      <c r="B104" s="34" t="s">
        <v>43</v>
      </c>
      <c r="C104" s="35" t="s">
        <v>43</v>
      </c>
      <c r="D104" s="35" t="s">
        <v>43</v>
      </c>
      <c r="E104" s="34" t="s">
        <v>43</v>
      </c>
      <c r="F104" s="35" t="n">
        <v>2.0</v>
      </c>
      <c r="G104" s="34" t="s">
        <v>147</v>
      </c>
      <c r="H104" s="34" t="s">
        <v>43</v>
      </c>
      <c r="I104" s="35"/>
      <c r="J104" s="35"/>
      <c r="K104" s="37"/>
    </row>
    <row r="105">
      <c r="A105" s="35" t="s">
        <v>43</v>
      </c>
      <c r="B105" s="34" t="s">
        <v>43</v>
      </c>
      <c r="C105" s="35" t="s">
        <v>43</v>
      </c>
      <c r="D105" s="35" t="s">
        <v>43</v>
      </c>
      <c r="E105" s="34" t="s">
        <v>43</v>
      </c>
      <c r="F105" s="35" t="n">
        <v>3.0</v>
      </c>
      <c r="G105" s="34" t="s">
        <v>148</v>
      </c>
      <c r="H105" s="34" t="s">
        <v>43</v>
      </c>
      <c r="I105" s="35"/>
      <c r="J105" s="35"/>
      <c r="K105" s="37"/>
    </row>
    <row r="106">
      <c r="A106" s="35" t="s">
        <v>43</v>
      </c>
      <c r="B106" s="34" t="s">
        <v>43</v>
      </c>
      <c r="C106" s="35" t="s">
        <v>43</v>
      </c>
      <c r="D106" s="35" t="s">
        <v>43</v>
      </c>
      <c r="E106" s="34" t="s">
        <v>43</v>
      </c>
      <c r="F106" s="35" t="s">
        <v>43</v>
      </c>
      <c r="G106" s="34" t="s">
        <v>43</v>
      </c>
      <c r="H106" s="34" t="s">
        <v>43</v>
      </c>
      <c r="I106" s="35"/>
      <c r="J106" s="35"/>
      <c r="K106" s="37"/>
    </row>
    <row r="107">
      <c r="A107" s="35" t="s">
        <v>43</v>
      </c>
      <c r="B107" s="34" t="s">
        <v>43</v>
      </c>
      <c r="C107" s="35" t="s">
        <v>43</v>
      </c>
      <c r="D107" s="35" t="s">
        <v>43</v>
      </c>
      <c r="E107" s="34" t="s">
        <v>43</v>
      </c>
      <c r="F107" s="35" t="s">
        <v>43</v>
      </c>
      <c r="G107" s="34" t="s">
        <v>43</v>
      </c>
      <c r="H107" s="34" t="s">
        <v>43</v>
      </c>
      <c r="I107" s="35"/>
      <c r="J107" s="35"/>
      <c r="K107" s="37"/>
    </row>
    <row r="108">
      <c r="A108" s="72" t="s">
        <v>15</v>
      </c>
      <c r="B108" s="73" t="s">
        <v>16</v>
      </c>
      <c r="C108" s="74" t="s">
        <v>10</v>
      </c>
      <c r="D108" s="75" t="s">
        <v>6</v>
      </c>
      <c r="E108" s="76" t="s">
        <v>1</v>
      </c>
      <c r="F108" s="77" t="s">
        <v>2</v>
      </c>
      <c r="G108" s="78" t="s">
        <v>8</v>
      </c>
      <c r="H108" s="79" t="s">
        <v>9</v>
      </c>
      <c r="I108" s="80" t="s">
        <v>23</v>
      </c>
      <c r="J108" s="81" t="s">
        <v>11</v>
      </c>
      <c r="K108" s="82" t="s">
        <v>3</v>
      </c>
      <c r="L108" s="83" t="s">
        <v>149</v>
      </c>
      <c r="M108" s="84" t="s">
        <v>4</v>
      </c>
      <c r="N108" s="85">
        <f>SUM(K109:K168)</f>
      </c>
    </row>
    <row r="109">
      <c r="A109" s="35" t="s">
        <v>150</v>
      </c>
      <c r="B109" s="34" t="s">
        <v>151</v>
      </c>
      <c r="C109" s="35" t="s">
        <v>44</v>
      </c>
      <c r="D109" s="34" t="s">
        <v>43</v>
      </c>
      <c r="E109" s="34" t="s">
        <v>43</v>
      </c>
      <c r="F109" s="34" t="s">
        <v>43</v>
      </c>
      <c r="G109" s="34" t="s">
        <v>43</v>
      </c>
      <c r="H109" s="34" t="s">
        <v>43</v>
      </c>
      <c r="I109" s="34" t="s">
        <v>43</v>
      </c>
      <c r="J109" s="34" t="s">
        <v>43</v>
      </c>
      <c r="K109" s="34" t="s">
        <v>43</v>
      </c>
    </row>
    <row r="110">
      <c r="A110" s="35" t="s">
        <v>43</v>
      </c>
      <c r="B110" s="34" t="s">
        <v>43</v>
      </c>
      <c r="C110" s="35" t="s">
        <v>43</v>
      </c>
      <c r="D110" s="35" t="s">
        <v>45</v>
      </c>
      <c r="E110" s="34" t="s">
        <v>152</v>
      </c>
      <c r="F110" s="35" t="s">
        <v>43</v>
      </c>
      <c r="G110" s="34" t="s">
        <v>153</v>
      </c>
      <c r="H110" s="34" t="s">
        <v>43</v>
      </c>
      <c r="I110" s="35" t="n">
        <v>4.0</v>
      </c>
      <c r="J110" s="35"/>
      <c r="K110" s="37" t="n">
        <v>1.0</v>
      </c>
    </row>
    <row r="111">
      <c r="A111" s="35" t="s">
        <v>43</v>
      </c>
      <c r="B111" s="34" t="s">
        <v>43</v>
      </c>
      <c r="C111" s="35" t="s">
        <v>43</v>
      </c>
      <c r="D111" s="35" t="s">
        <v>118</v>
      </c>
      <c r="E111" s="34" t="s">
        <v>154</v>
      </c>
      <c r="F111" s="35" t="s">
        <v>43</v>
      </c>
      <c r="G111" s="34" t="s">
        <v>43</v>
      </c>
      <c r="H111" s="34" t="s">
        <v>43</v>
      </c>
      <c r="I111" s="35" t="n">
        <v>4.0</v>
      </c>
      <c r="J111" s="35"/>
      <c r="K111" s="37" t="n">
        <v>2.0</v>
      </c>
    </row>
    <row r="112">
      <c r="A112" s="35" t="s">
        <v>43</v>
      </c>
      <c r="B112" s="34" t="s">
        <v>43</v>
      </c>
      <c r="C112" s="35" t="s">
        <v>43</v>
      </c>
      <c r="D112" s="35" t="s">
        <v>43</v>
      </c>
      <c r="E112" s="34" t="s">
        <v>43</v>
      </c>
      <c r="F112" s="35" t="n">
        <v>0.0</v>
      </c>
      <c r="G112" s="34" t="s">
        <v>155</v>
      </c>
      <c r="H112" s="34" t="s">
        <v>43</v>
      </c>
      <c r="I112" s="35"/>
      <c r="J112" s="35"/>
      <c r="K112" s="37"/>
    </row>
    <row r="113">
      <c r="A113" s="35" t="s">
        <v>43</v>
      </c>
      <c r="B113" s="34" t="s">
        <v>43</v>
      </c>
      <c r="C113" s="35" t="s">
        <v>43</v>
      </c>
      <c r="D113" s="35" t="s">
        <v>43</v>
      </c>
      <c r="E113" s="34" t="s">
        <v>43</v>
      </c>
      <c r="F113" s="35" t="n">
        <v>1.0</v>
      </c>
      <c r="G113" s="34" t="s">
        <v>156</v>
      </c>
      <c r="H113" s="34" t="s">
        <v>43</v>
      </c>
      <c r="I113" s="35"/>
      <c r="J113" s="35"/>
      <c r="K113" s="37"/>
    </row>
    <row r="114">
      <c r="A114" s="35" t="s">
        <v>43</v>
      </c>
      <c r="B114" s="34" t="s">
        <v>43</v>
      </c>
      <c r="C114" s="35" t="s">
        <v>43</v>
      </c>
      <c r="D114" s="35" t="s">
        <v>43</v>
      </c>
      <c r="E114" s="34" t="s">
        <v>43</v>
      </c>
      <c r="F114" s="35" t="n">
        <v>2.0</v>
      </c>
      <c r="G114" s="34" t="s">
        <v>157</v>
      </c>
      <c r="H114" s="34" t="s">
        <v>43</v>
      </c>
      <c r="I114" s="35"/>
      <c r="J114" s="35"/>
      <c r="K114" s="37"/>
    </row>
    <row r="115">
      <c r="A115" s="35" t="s">
        <v>43</v>
      </c>
      <c r="B115" s="34" t="s">
        <v>43</v>
      </c>
      <c r="C115" s="35" t="s">
        <v>43</v>
      </c>
      <c r="D115" s="35" t="s">
        <v>43</v>
      </c>
      <c r="E115" s="34" t="s">
        <v>43</v>
      </c>
      <c r="F115" s="35" t="n">
        <v>3.0</v>
      </c>
      <c r="G115" s="34" t="s">
        <v>158</v>
      </c>
      <c r="H115" s="34" t="s">
        <v>43</v>
      </c>
      <c r="I115" s="35"/>
      <c r="J115" s="35"/>
      <c r="K115" s="37"/>
    </row>
    <row r="116">
      <c r="A116" s="35" t="s">
        <v>159</v>
      </c>
      <c r="B116" s="34" t="s">
        <v>160</v>
      </c>
      <c r="C116" s="35" t="s">
        <v>57</v>
      </c>
      <c r="D116" s="34" t="s">
        <v>43</v>
      </c>
      <c r="E116" s="34" t="s">
        <v>43</v>
      </c>
      <c r="F116" s="34" t="s">
        <v>43</v>
      </c>
      <c r="G116" s="34" t="s">
        <v>43</v>
      </c>
      <c r="H116" s="34" t="s">
        <v>43</v>
      </c>
      <c r="I116" s="34" t="s">
        <v>43</v>
      </c>
      <c r="J116" s="34" t="s">
        <v>43</v>
      </c>
      <c r="K116" s="34" t="s">
        <v>43</v>
      </c>
    </row>
    <row r="117">
      <c r="A117" s="35" t="s">
        <v>43</v>
      </c>
      <c r="B117" s="34" t="s">
        <v>43</v>
      </c>
      <c r="C117" s="35" t="s">
        <v>43</v>
      </c>
      <c r="D117" s="35" t="s">
        <v>45</v>
      </c>
      <c r="E117" s="34" t="s">
        <v>161</v>
      </c>
      <c r="F117" s="35" t="s">
        <v>43</v>
      </c>
      <c r="G117" s="34" t="s">
        <v>162</v>
      </c>
      <c r="H117" s="34" t="s">
        <v>43</v>
      </c>
      <c r="I117" s="35" t="n">
        <v>4.0</v>
      </c>
      <c r="J117" s="35"/>
      <c r="K117" s="37" t="n">
        <v>1.0</v>
      </c>
    </row>
    <row r="118">
      <c r="A118" s="35" t="s">
        <v>43</v>
      </c>
      <c r="B118" s="34" t="s">
        <v>43</v>
      </c>
      <c r="C118" s="35" t="s">
        <v>43</v>
      </c>
      <c r="D118" s="35" t="s">
        <v>45</v>
      </c>
      <c r="E118" s="34" t="s">
        <v>163</v>
      </c>
      <c r="F118" s="35" t="s">
        <v>43</v>
      </c>
      <c r="G118" s="34" t="s">
        <v>164</v>
      </c>
      <c r="H118" s="34" t="s">
        <v>43</v>
      </c>
      <c r="I118" s="35" t="n">
        <v>4.0</v>
      </c>
      <c r="J118" s="35"/>
      <c r="K118" s="37" t="n">
        <v>1.0</v>
      </c>
    </row>
    <row r="119">
      <c r="A119" s="35" t="s">
        <v>43</v>
      </c>
      <c r="B119" s="34" t="s">
        <v>43</v>
      </c>
      <c r="C119" s="35" t="s">
        <v>43</v>
      </c>
      <c r="D119" s="35" t="s">
        <v>45</v>
      </c>
      <c r="E119" s="34" t="s">
        <v>165</v>
      </c>
      <c r="F119" s="35" t="s">
        <v>43</v>
      </c>
      <c r="G119" s="34" t="s">
        <v>166</v>
      </c>
      <c r="H119" s="34" t="s">
        <v>43</v>
      </c>
      <c r="I119" s="35" t="n">
        <v>4.0</v>
      </c>
      <c r="J119" s="35"/>
      <c r="K119" s="37" t="n">
        <v>0.25</v>
      </c>
    </row>
    <row r="120">
      <c r="A120" s="35" t="s">
        <v>43</v>
      </c>
      <c r="B120" s="34" t="s">
        <v>43</v>
      </c>
      <c r="C120" s="35" t="s">
        <v>43</v>
      </c>
      <c r="D120" s="35" t="s">
        <v>45</v>
      </c>
      <c r="E120" s="34" t="s">
        <v>167</v>
      </c>
      <c r="F120" s="35" t="s">
        <v>43</v>
      </c>
      <c r="G120" s="34" t="s">
        <v>166</v>
      </c>
      <c r="H120" s="34" t="s">
        <v>43</v>
      </c>
      <c r="I120" s="35" t="n">
        <v>4.0</v>
      </c>
      <c r="J120" s="35"/>
      <c r="K120" s="37" t="n">
        <v>0.25</v>
      </c>
    </row>
    <row r="121">
      <c r="A121" s="35" t="s">
        <v>43</v>
      </c>
      <c r="B121" s="34" t="s">
        <v>43</v>
      </c>
      <c r="C121" s="35" t="s">
        <v>43</v>
      </c>
      <c r="D121" s="35" t="s">
        <v>45</v>
      </c>
      <c r="E121" s="34" t="s">
        <v>168</v>
      </c>
      <c r="F121" s="35" t="s">
        <v>43</v>
      </c>
      <c r="G121" s="34" t="s">
        <v>166</v>
      </c>
      <c r="H121" s="34" t="s">
        <v>43</v>
      </c>
      <c r="I121" s="35" t="n">
        <v>4.0</v>
      </c>
      <c r="J121" s="35"/>
      <c r="K121" s="37" t="n">
        <v>0.25</v>
      </c>
    </row>
    <row r="122">
      <c r="A122" s="35" t="s">
        <v>43</v>
      </c>
      <c r="B122" s="34" t="s">
        <v>43</v>
      </c>
      <c r="C122" s="35" t="s">
        <v>43</v>
      </c>
      <c r="D122" s="35" t="s">
        <v>45</v>
      </c>
      <c r="E122" s="34" t="s">
        <v>169</v>
      </c>
      <c r="F122" s="35" t="s">
        <v>43</v>
      </c>
      <c r="G122" s="34" t="s">
        <v>166</v>
      </c>
      <c r="H122" s="34" t="s">
        <v>43</v>
      </c>
      <c r="I122" s="35" t="n">
        <v>4.0</v>
      </c>
      <c r="J122" s="35"/>
      <c r="K122" s="37" t="n">
        <v>0.25</v>
      </c>
    </row>
    <row r="123">
      <c r="A123" s="35" t="s">
        <v>43</v>
      </c>
      <c r="B123" s="34" t="s">
        <v>43</v>
      </c>
      <c r="C123" s="35" t="s">
        <v>43</v>
      </c>
      <c r="D123" s="35" t="s">
        <v>118</v>
      </c>
      <c r="E123" s="34" t="s">
        <v>170</v>
      </c>
      <c r="F123" s="35" t="s">
        <v>43</v>
      </c>
      <c r="G123" s="34" t="s">
        <v>43</v>
      </c>
      <c r="H123" s="34" t="s">
        <v>43</v>
      </c>
      <c r="I123" s="35" t="n">
        <v>4.0</v>
      </c>
      <c r="J123" s="35"/>
      <c r="K123" s="37" t="n">
        <v>2.0</v>
      </c>
    </row>
    <row r="124">
      <c r="A124" s="35" t="s">
        <v>43</v>
      </c>
      <c r="B124" s="34" t="s">
        <v>43</v>
      </c>
      <c r="C124" s="35" t="s">
        <v>43</v>
      </c>
      <c r="D124" s="35" t="s">
        <v>43</v>
      </c>
      <c r="E124" s="34" t="s">
        <v>43</v>
      </c>
      <c r="F124" s="35" t="n">
        <v>0.0</v>
      </c>
      <c r="G124" s="34" t="s">
        <v>171</v>
      </c>
      <c r="H124" s="34" t="s">
        <v>43</v>
      </c>
      <c r="I124" s="35"/>
      <c r="J124" s="35"/>
      <c r="K124" s="37"/>
    </row>
    <row r="125">
      <c r="A125" s="35" t="s">
        <v>43</v>
      </c>
      <c r="B125" s="34" t="s">
        <v>43</v>
      </c>
      <c r="C125" s="35" t="s">
        <v>43</v>
      </c>
      <c r="D125" s="35" t="s">
        <v>43</v>
      </c>
      <c r="E125" s="34" t="s">
        <v>43</v>
      </c>
      <c r="F125" s="35" t="n">
        <v>1.0</v>
      </c>
      <c r="G125" s="34" t="s">
        <v>172</v>
      </c>
      <c r="H125" s="34" t="s">
        <v>43</v>
      </c>
      <c r="I125" s="35"/>
      <c r="J125" s="35"/>
      <c r="K125" s="37"/>
    </row>
    <row r="126">
      <c r="A126" s="35" t="s">
        <v>43</v>
      </c>
      <c r="B126" s="34" t="s">
        <v>43</v>
      </c>
      <c r="C126" s="35" t="s">
        <v>43</v>
      </c>
      <c r="D126" s="35" t="s">
        <v>43</v>
      </c>
      <c r="E126" s="34" t="s">
        <v>43</v>
      </c>
      <c r="F126" s="35" t="n">
        <v>2.0</v>
      </c>
      <c r="G126" s="34" t="s">
        <v>173</v>
      </c>
      <c r="H126" s="34" t="s">
        <v>43</v>
      </c>
      <c r="I126" s="35"/>
      <c r="J126" s="35"/>
      <c r="K126" s="37"/>
    </row>
    <row r="127">
      <c r="A127" s="35" t="s">
        <v>43</v>
      </c>
      <c r="B127" s="34" t="s">
        <v>43</v>
      </c>
      <c r="C127" s="35" t="s">
        <v>43</v>
      </c>
      <c r="D127" s="35" t="s">
        <v>43</v>
      </c>
      <c r="E127" s="34" t="s">
        <v>43</v>
      </c>
      <c r="F127" s="35" t="n">
        <v>3.0</v>
      </c>
      <c r="G127" s="34" t="s">
        <v>174</v>
      </c>
      <c r="H127" s="34" t="s">
        <v>43</v>
      </c>
      <c r="I127" s="35"/>
      <c r="J127" s="35"/>
      <c r="K127" s="37"/>
    </row>
    <row r="128">
      <c r="A128" s="35" t="s">
        <v>175</v>
      </c>
      <c r="B128" s="34" t="s">
        <v>176</v>
      </c>
      <c r="C128" s="35" t="s">
        <v>57</v>
      </c>
      <c r="D128" s="34" t="s">
        <v>43</v>
      </c>
      <c r="E128" s="34" t="s">
        <v>43</v>
      </c>
      <c r="F128" s="34" t="s">
        <v>43</v>
      </c>
      <c r="G128" s="34" t="s">
        <v>43</v>
      </c>
      <c r="H128" s="34" t="s">
        <v>43</v>
      </c>
      <c r="I128" s="34" t="s">
        <v>43</v>
      </c>
      <c r="J128" s="34" t="s">
        <v>43</v>
      </c>
      <c r="K128" s="34" t="s">
        <v>43</v>
      </c>
    </row>
    <row r="129">
      <c r="A129" s="35" t="s">
        <v>43</v>
      </c>
      <c r="B129" s="34" t="s">
        <v>43</v>
      </c>
      <c r="C129" s="35" t="s">
        <v>43</v>
      </c>
      <c r="D129" s="35" t="s">
        <v>45</v>
      </c>
      <c r="E129" s="34" t="s">
        <v>177</v>
      </c>
      <c r="F129" s="35" t="s">
        <v>43</v>
      </c>
      <c r="G129" s="34" t="s">
        <v>178</v>
      </c>
      <c r="H129" s="34" t="s">
        <v>43</v>
      </c>
      <c r="I129" s="35" t="n">
        <v>4.0</v>
      </c>
      <c r="J129" s="35"/>
      <c r="K129" s="37" t="n">
        <v>1.0</v>
      </c>
    </row>
    <row r="130">
      <c r="A130" s="35" t="s">
        <v>43</v>
      </c>
      <c r="B130" s="34" t="s">
        <v>43</v>
      </c>
      <c r="C130" s="35" t="s">
        <v>43</v>
      </c>
      <c r="D130" s="35" t="s">
        <v>45</v>
      </c>
      <c r="E130" s="34" t="s">
        <v>179</v>
      </c>
      <c r="F130" s="35" t="s">
        <v>43</v>
      </c>
      <c r="G130" s="34" t="s">
        <v>180</v>
      </c>
      <c r="H130" s="34" t="s">
        <v>43</v>
      </c>
      <c r="I130" s="35" t="n">
        <v>4.0</v>
      </c>
      <c r="J130" s="35"/>
      <c r="K130" s="37" t="n">
        <v>1.0</v>
      </c>
    </row>
    <row r="131">
      <c r="A131" s="35" t="s">
        <v>43</v>
      </c>
      <c r="B131" s="34" t="s">
        <v>43</v>
      </c>
      <c r="C131" s="35" t="s">
        <v>43</v>
      </c>
      <c r="D131" s="35" t="s">
        <v>45</v>
      </c>
      <c r="E131" s="34" t="s">
        <v>163</v>
      </c>
      <c r="F131" s="35" t="s">
        <v>43</v>
      </c>
      <c r="G131" s="34" t="s">
        <v>164</v>
      </c>
      <c r="H131" s="34" t="s">
        <v>43</v>
      </c>
      <c r="I131" s="35" t="n">
        <v>4.0</v>
      </c>
      <c r="J131" s="35"/>
      <c r="K131" s="37" t="n">
        <v>1.0</v>
      </c>
    </row>
    <row r="132">
      <c r="A132" s="35" t="s">
        <v>43</v>
      </c>
      <c r="B132" s="34" t="s">
        <v>43</v>
      </c>
      <c r="C132" s="35" t="s">
        <v>43</v>
      </c>
      <c r="D132" s="35" t="s">
        <v>45</v>
      </c>
      <c r="E132" s="34" t="s">
        <v>165</v>
      </c>
      <c r="F132" s="35" t="s">
        <v>43</v>
      </c>
      <c r="G132" s="34" t="s">
        <v>181</v>
      </c>
      <c r="H132" s="34" t="s">
        <v>43</v>
      </c>
      <c r="I132" s="35" t="n">
        <v>4.0</v>
      </c>
      <c r="J132" s="35"/>
      <c r="K132" s="37" t="n">
        <v>0.25</v>
      </c>
    </row>
    <row r="133">
      <c r="A133" s="35" t="s">
        <v>43</v>
      </c>
      <c r="B133" s="34" t="s">
        <v>43</v>
      </c>
      <c r="C133" s="35" t="s">
        <v>43</v>
      </c>
      <c r="D133" s="35" t="s">
        <v>45</v>
      </c>
      <c r="E133" s="34" t="s">
        <v>182</v>
      </c>
      <c r="F133" s="35" t="s">
        <v>43</v>
      </c>
      <c r="G133" s="34" t="s">
        <v>181</v>
      </c>
      <c r="H133" s="34" t="s">
        <v>43</v>
      </c>
      <c r="I133" s="35" t="n">
        <v>4.0</v>
      </c>
      <c r="J133" s="35"/>
      <c r="K133" s="37" t="n">
        <v>0.25</v>
      </c>
    </row>
    <row r="134">
      <c r="A134" s="35" t="s">
        <v>43</v>
      </c>
      <c r="B134" s="34" t="s">
        <v>43</v>
      </c>
      <c r="C134" s="35" t="s">
        <v>43</v>
      </c>
      <c r="D134" s="35" t="s">
        <v>45</v>
      </c>
      <c r="E134" s="34" t="s">
        <v>168</v>
      </c>
      <c r="F134" s="35" t="s">
        <v>43</v>
      </c>
      <c r="G134" s="34" t="s">
        <v>181</v>
      </c>
      <c r="H134" s="34" t="s">
        <v>43</v>
      </c>
      <c r="I134" s="35" t="n">
        <v>4.0</v>
      </c>
      <c r="J134" s="35"/>
      <c r="K134" s="37" t="n">
        <v>0.25</v>
      </c>
    </row>
    <row r="135">
      <c r="A135" s="35" t="s">
        <v>43</v>
      </c>
      <c r="B135" s="34" t="s">
        <v>43</v>
      </c>
      <c r="C135" s="35" t="s">
        <v>43</v>
      </c>
      <c r="D135" s="35" t="s">
        <v>45</v>
      </c>
      <c r="E135" s="34" t="s">
        <v>169</v>
      </c>
      <c r="F135" s="35" t="s">
        <v>43</v>
      </c>
      <c r="G135" s="34" t="s">
        <v>181</v>
      </c>
      <c r="H135" s="34" t="s">
        <v>43</v>
      </c>
      <c r="I135" s="35" t="n">
        <v>4.0</v>
      </c>
      <c r="J135" s="35"/>
      <c r="K135" s="37" t="n">
        <v>0.25</v>
      </c>
    </row>
    <row r="136">
      <c r="A136" s="35" t="s">
        <v>43</v>
      </c>
      <c r="B136" s="34" t="s">
        <v>43</v>
      </c>
      <c r="C136" s="35" t="s">
        <v>43</v>
      </c>
      <c r="D136" s="35" t="s">
        <v>45</v>
      </c>
      <c r="E136" s="34" t="s">
        <v>183</v>
      </c>
      <c r="F136" s="35" t="s">
        <v>43</v>
      </c>
      <c r="G136" s="34" t="s">
        <v>184</v>
      </c>
      <c r="H136" s="34" t="s">
        <v>43</v>
      </c>
      <c r="I136" s="35" t="n">
        <v>4.0</v>
      </c>
      <c r="J136" s="35"/>
      <c r="K136" s="37" t="n">
        <v>1.0</v>
      </c>
    </row>
    <row r="137">
      <c r="A137" s="35" t="s">
        <v>43</v>
      </c>
      <c r="B137" s="34" t="s">
        <v>43</v>
      </c>
      <c r="C137" s="35" t="s">
        <v>43</v>
      </c>
      <c r="D137" s="35" t="s">
        <v>45</v>
      </c>
      <c r="E137" s="34" t="s">
        <v>185</v>
      </c>
      <c r="F137" s="35" t="s">
        <v>43</v>
      </c>
      <c r="G137" s="34" t="s">
        <v>186</v>
      </c>
      <c r="H137" s="34" t="s">
        <v>43</v>
      </c>
      <c r="I137" s="35" t="n">
        <v>4.0</v>
      </c>
      <c r="J137" s="35"/>
      <c r="K137" s="37" t="n">
        <v>0.25</v>
      </c>
    </row>
    <row r="138">
      <c r="A138" s="35" t="s">
        <v>43</v>
      </c>
      <c r="B138" s="34" t="s">
        <v>43</v>
      </c>
      <c r="C138" s="35" t="s">
        <v>43</v>
      </c>
      <c r="D138" s="35" t="s">
        <v>45</v>
      </c>
      <c r="E138" s="34" t="s">
        <v>187</v>
      </c>
      <c r="F138" s="35" t="s">
        <v>43</v>
      </c>
      <c r="G138" s="34" t="s">
        <v>188</v>
      </c>
      <c r="H138" s="34" t="s">
        <v>43</v>
      </c>
      <c r="I138" s="35" t="n">
        <v>4.0</v>
      </c>
      <c r="J138" s="35"/>
      <c r="K138" s="37" t="n">
        <v>0.5</v>
      </c>
    </row>
    <row r="139">
      <c r="A139" s="35" t="s">
        <v>43</v>
      </c>
      <c r="B139" s="34" t="s">
        <v>43</v>
      </c>
      <c r="C139" s="35" t="s">
        <v>43</v>
      </c>
      <c r="D139" s="35" t="s">
        <v>45</v>
      </c>
      <c r="E139" s="34" t="s">
        <v>189</v>
      </c>
      <c r="F139" s="35" t="s">
        <v>43</v>
      </c>
      <c r="G139" s="34" t="s">
        <v>190</v>
      </c>
      <c r="H139" s="34" t="s">
        <v>43</v>
      </c>
      <c r="I139" s="35" t="n">
        <v>4.0</v>
      </c>
      <c r="J139" s="35"/>
      <c r="K139" s="37" t="n">
        <v>0.25</v>
      </c>
    </row>
    <row r="140">
      <c r="A140" s="35" t="s">
        <v>43</v>
      </c>
      <c r="B140" s="34" t="s">
        <v>43</v>
      </c>
      <c r="C140" s="35" t="s">
        <v>43</v>
      </c>
      <c r="D140" s="35" t="s">
        <v>45</v>
      </c>
      <c r="E140" s="34" t="s">
        <v>191</v>
      </c>
      <c r="F140" s="35" t="s">
        <v>43</v>
      </c>
      <c r="G140" s="34" t="s">
        <v>192</v>
      </c>
      <c r="H140" s="34" t="s">
        <v>43</v>
      </c>
      <c r="I140" s="35" t="n">
        <v>4.0</v>
      </c>
      <c r="J140" s="35"/>
      <c r="K140" s="37" t="n">
        <v>1.0</v>
      </c>
    </row>
    <row r="141">
      <c r="A141" s="35" t="s">
        <v>193</v>
      </c>
      <c r="B141" s="34" t="s">
        <v>194</v>
      </c>
      <c r="C141" s="35" t="s">
        <v>57</v>
      </c>
      <c r="D141" s="34" t="s">
        <v>43</v>
      </c>
      <c r="E141" s="34" t="s">
        <v>43</v>
      </c>
      <c r="F141" s="34" t="s">
        <v>43</v>
      </c>
      <c r="G141" s="34" t="s">
        <v>43</v>
      </c>
      <c r="H141" s="34" t="s">
        <v>43</v>
      </c>
      <c r="I141" s="34" t="s">
        <v>43</v>
      </c>
      <c r="J141" s="34" t="s">
        <v>43</v>
      </c>
      <c r="K141" s="34" t="s">
        <v>43</v>
      </c>
    </row>
    <row r="142">
      <c r="A142" s="35" t="s">
        <v>43</v>
      </c>
      <c r="B142" s="34" t="s">
        <v>43</v>
      </c>
      <c r="C142" s="35" t="s">
        <v>43</v>
      </c>
      <c r="D142" s="35" t="s">
        <v>118</v>
      </c>
      <c r="E142" s="34" t="s">
        <v>195</v>
      </c>
      <c r="F142" s="35" t="s">
        <v>43</v>
      </c>
      <c r="G142" s="34" t="s">
        <v>43</v>
      </c>
      <c r="H142" s="34" t="s">
        <v>43</v>
      </c>
      <c r="I142" s="35" t="n">
        <v>4.0</v>
      </c>
      <c r="J142" s="35"/>
      <c r="K142" s="37" t="n">
        <v>2.0</v>
      </c>
    </row>
    <row r="143">
      <c r="A143" s="35" t="s">
        <v>43</v>
      </c>
      <c r="B143" s="34" t="s">
        <v>43</v>
      </c>
      <c r="C143" s="35" t="s">
        <v>43</v>
      </c>
      <c r="D143" s="35" t="s">
        <v>43</v>
      </c>
      <c r="E143" s="34" t="s">
        <v>43</v>
      </c>
      <c r="F143" s="35" t="n">
        <v>0.0</v>
      </c>
      <c r="G143" s="34" t="s">
        <v>196</v>
      </c>
      <c r="H143" s="34" t="s">
        <v>43</v>
      </c>
      <c r="I143" s="35"/>
      <c r="J143" s="35"/>
      <c r="K143" s="37"/>
    </row>
    <row r="144">
      <c r="A144" s="35" t="s">
        <v>43</v>
      </c>
      <c r="B144" s="34" t="s">
        <v>43</v>
      </c>
      <c r="C144" s="35" t="s">
        <v>43</v>
      </c>
      <c r="D144" s="35" t="s">
        <v>43</v>
      </c>
      <c r="E144" s="34" t="s">
        <v>43</v>
      </c>
      <c r="F144" s="35" t="n">
        <v>1.0</v>
      </c>
      <c r="G144" s="34" t="s">
        <v>197</v>
      </c>
      <c r="H144" s="34" t="s">
        <v>43</v>
      </c>
      <c r="I144" s="35"/>
      <c r="J144" s="35"/>
      <c r="K144" s="37"/>
    </row>
    <row r="145">
      <c r="A145" s="35" t="s">
        <v>43</v>
      </c>
      <c r="B145" s="34" t="s">
        <v>43</v>
      </c>
      <c r="C145" s="35" t="s">
        <v>43</v>
      </c>
      <c r="D145" s="35" t="s">
        <v>43</v>
      </c>
      <c r="E145" s="34" t="s">
        <v>43</v>
      </c>
      <c r="F145" s="35" t="n">
        <v>2.0</v>
      </c>
      <c r="G145" s="34" t="s">
        <v>198</v>
      </c>
      <c r="H145" s="34" t="s">
        <v>43</v>
      </c>
      <c r="I145" s="35"/>
      <c r="J145" s="35"/>
      <c r="K145" s="37"/>
    </row>
    <row r="146">
      <c r="A146" s="35" t="s">
        <v>43</v>
      </c>
      <c r="B146" s="34" t="s">
        <v>43</v>
      </c>
      <c r="C146" s="35" t="s">
        <v>43</v>
      </c>
      <c r="D146" s="35" t="s">
        <v>43</v>
      </c>
      <c r="E146" s="34" t="s">
        <v>43</v>
      </c>
      <c r="F146" s="35" t="n">
        <v>3.0</v>
      </c>
      <c r="G146" s="34" t="s">
        <v>199</v>
      </c>
      <c r="H146" s="34" t="s">
        <v>43</v>
      </c>
      <c r="I146" s="35"/>
      <c r="J146" s="35"/>
      <c r="K146" s="37"/>
    </row>
    <row r="147">
      <c r="A147" s="35" t="s">
        <v>43</v>
      </c>
      <c r="B147" s="34" t="s">
        <v>43</v>
      </c>
      <c r="C147" s="35" t="s">
        <v>43</v>
      </c>
      <c r="D147" s="35" t="s">
        <v>118</v>
      </c>
      <c r="E147" s="34" t="s">
        <v>200</v>
      </c>
      <c r="F147" s="35" t="s">
        <v>43</v>
      </c>
      <c r="G147" s="34" t="s">
        <v>43</v>
      </c>
      <c r="H147" s="34" t="s">
        <v>43</v>
      </c>
      <c r="I147" s="35" t="n">
        <v>4.0</v>
      </c>
      <c r="J147" s="35"/>
      <c r="K147" s="37" t="n">
        <v>2.0</v>
      </c>
    </row>
    <row r="148">
      <c r="A148" s="35" t="s">
        <v>43</v>
      </c>
      <c r="B148" s="34" t="s">
        <v>43</v>
      </c>
      <c r="C148" s="35" t="s">
        <v>43</v>
      </c>
      <c r="D148" s="35" t="s">
        <v>43</v>
      </c>
      <c r="E148" s="34" t="s">
        <v>43</v>
      </c>
      <c r="F148" s="35" t="n">
        <v>0.0</v>
      </c>
      <c r="G148" s="34" t="s">
        <v>201</v>
      </c>
      <c r="H148" s="34" t="s">
        <v>43</v>
      </c>
      <c r="I148" s="35"/>
      <c r="J148" s="35"/>
      <c r="K148" s="37"/>
    </row>
    <row r="149">
      <c r="A149" s="35" t="s">
        <v>43</v>
      </c>
      <c r="B149" s="34" t="s">
        <v>43</v>
      </c>
      <c r="C149" s="35" t="s">
        <v>43</v>
      </c>
      <c r="D149" s="35" t="s">
        <v>43</v>
      </c>
      <c r="E149" s="34" t="s">
        <v>43</v>
      </c>
      <c r="F149" s="35" t="n">
        <v>1.0</v>
      </c>
      <c r="G149" s="34" t="s">
        <v>202</v>
      </c>
      <c r="H149" s="34" t="s">
        <v>43</v>
      </c>
      <c r="I149" s="35"/>
      <c r="J149" s="35"/>
      <c r="K149" s="37"/>
    </row>
    <row r="150">
      <c r="A150" s="35" t="s">
        <v>43</v>
      </c>
      <c r="B150" s="34" t="s">
        <v>43</v>
      </c>
      <c r="C150" s="35" t="s">
        <v>43</v>
      </c>
      <c r="D150" s="35" t="s">
        <v>43</v>
      </c>
      <c r="E150" s="34" t="s">
        <v>43</v>
      </c>
      <c r="F150" s="35" t="n">
        <v>2.0</v>
      </c>
      <c r="G150" s="34" t="s">
        <v>203</v>
      </c>
      <c r="H150" s="34" t="s">
        <v>43</v>
      </c>
      <c r="I150" s="35"/>
      <c r="J150" s="35"/>
      <c r="K150" s="37"/>
    </row>
    <row r="151">
      <c r="A151" s="35" t="s">
        <v>43</v>
      </c>
      <c r="B151" s="34" t="s">
        <v>43</v>
      </c>
      <c r="C151" s="35" t="s">
        <v>43</v>
      </c>
      <c r="D151" s="35" t="s">
        <v>43</v>
      </c>
      <c r="E151" s="34" t="s">
        <v>43</v>
      </c>
      <c r="F151" s="35" t="n">
        <v>3.0</v>
      </c>
      <c r="G151" s="34" t="s">
        <v>204</v>
      </c>
      <c r="H151" s="34" t="s">
        <v>43</v>
      </c>
      <c r="I151" s="35"/>
      <c r="J151" s="35"/>
      <c r="K151" s="37"/>
    </row>
    <row r="152">
      <c r="A152" s="35" t="s">
        <v>43</v>
      </c>
      <c r="B152" s="34" t="s">
        <v>43</v>
      </c>
      <c r="C152" s="35" t="s">
        <v>43</v>
      </c>
      <c r="D152" s="35" t="s">
        <v>118</v>
      </c>
      <c r="E152" s="34" t="s">
        <v>205</v>
      </c>
      <c r="F152" s="35" t="s">
        <v>43</v>
      </c>
      <c r="G152" s="34" t="s">
        <v>43</v>
      </c>
      <c r="H152" s="34" t="s">
        <v>43</v>
      </c>
      <c r="I152" s="35" t="n">
        <v>4.0</v>
      </c>
      <c r="J152" s="35"/>
      <c r="K152" s="37" t="n">
        <v>2.0</v>
      </c>
    </row>
    <row r="153">
      <c r="A153" s="35" t="s">
        <v>43</v>
      </c>
      <c r="B153" s="34" t="s">
        <v>43</v>
      </c>
      <c r="C153" s="35" t="s">
        <v>43</v>
      </c>
      <c r="D153" s="35" t="s">
        <v>43</v>
      </c>
      <c r="E153" s="34" t="s">
        <v>43</v>
      </c>
      <c r="F153" s="35" t="n">
        <v>0.0</v>
      </c>
      <c r="G153" s="34" t="s">
        <v>206</v>
      </c>
      <c r="H153" s="34" t="s">
        <v>43</v>
      </c>
      <c r="I153" s="35"/>
      <c r="J153" s="35"/>
      <c r="K153" s="37"/>
    </row>
    <row r="154">
      <c r="A154" s="35" t="s">
        <v>43</v>
      </c>
      <c r="B154" s="34" t="s">
        <v>43</v>
      </c>
      <c r="C154" s="35" t="s">
        <v>43</v>
      </c>
      <c r="D154" s="35" t="s">
        <v>43</v>
      </c>
      <c r="E154" s="34" t="s">
        <v>43</v>
      </c>
      <c r="F154" s="35" t="n">
        <v>1.0</v>
      </c>
      <c r="G154" s="34" t="s">
        <v>207</v>
      </c>
      <c r="H154" s="34" t="s">
        <v>43</v>
      </c>
      <c r="I154" s="35"/>
      <c r="J154" s="35"/>
      <c r="K154" s="37"/>
    </row>
    <row r="155">
      <c r="A155" s="35" t="s">
        <v>43</v>
      </c>
      <c r="B155" s="34" t="s">
        <v>43</v>
      </c>
      <c r="C155" s="35" t="s">
        <v>43</v>
      </c>
      <c r="D155" s="35" t="s">
        <v>43</v>
      </c>
      <c r="E155" s="34" t="s">
        <v>43</v>
      </c>
      <c r="F155" s="35" t="n">
        <v>2.0</v>
      </c>
      <c r="G155" s="34" t="s">
        <v>208</v>
      </c>
      <c r="H155" s="34" t="s">
        <v>43</v>
      </c>
      <c r="I155" s="35"/>
      <c r="J155" s="35"/>
      <c r="K155" s="37"/>
    </row>
    <row r="156">
      <c r="A156" s="35" t="s">
        <v>43</v>
      </c>
      <c r="B156" s="34" t="s">
        <v>43</v>
      </c>
      <c r="C156" s="35" t="s">
        <v>43</v>
      </c>
      <c r="D156" s="35" t="s">
        <v>43</v>
      </c>
      <c r="E156" s="34" t="s">
        <v>43</v>
      </c>
      <c r="F156" s="35" t="n">
        <v>3.0</v>
      </c>
      <c r="G156" s="34" t="s">
        <v>209</v>
      </c>
      <c r="H156" s="34" t="s">
        <v>43</v>
      </c>
      <c r="I156" s="35"/>
      <c r="J156" s="35"/>
      <c r="K156" s="37"/>
    </row>
    <row r="157">
      <c r="A157" s="35" t="s">
        <v>43</v>
      </c>
      <c r="B157" s="34" t="s">
        <v>43</v>
      </c>
      <c r="C157" s="35" t="s">
        <v>43</v>
      </c>
      <c r="D157" s="35" t="s">
        <v>118</v>
      </c>
      <c r="E157" s="34" t="s">
        <v>210</v>
      </c>
      <c r="F157" s="35" t="s">
        <v>43</v>
      </c>
      <c r="G157" s="34" t="s">
        <v>43</v>
      </c>
      <c r="H157" s="34" t="s">
        <v>43</v>
      </c>
      <c r="I157" s="35" t="n">
        <v>4.0</v>
      </c>
      <c r="J157" s="35"/>
      <c r="K157" s="37" t="n">
        <v>2.0</v>
      </c>
    </row>
    <row r="158">
      <c r="A158" s="35" t="s">
        <v>43</v>
      </c>
      <c r="B158" s="34" t="s">
        <v>43</v>
      </c>
      <c r="C158" s="35" t="s">
        <v>43</v>
      </c>
      <c r="D158" s="35" t="s">
        <v>43</v>
      </c>
      <c r="E158" s="34" t="s">
        <v>43</v>
      </c>
      <c r="F158" s="35" t="n">
        <v>0.0</v>
      </c>
      <c r="G158" s="34" t="s">
        <v>211</v>
      </c>
      <c r="H158" s="34" t="s">
        <v>43</v>
      </c>
      <c r="I158" s="35"/>
      <c r="J158" s="35"/>
      <c r="K158" s="37"/>
    </row>
    <row r="159">
      <c r="A159" s="35" t="s">
        <v>43</v>
      </c>
      <c r="B159" s="34" t="s">
        <v>43</v>
      </c>
      <c r="C159" s="35" t="s">
        <v>43</v>
      </c>
      <c r="D159" s="35" t="s">
        <v>43</v>
      </c>
      <c r="E159" s="34" t="s">
        <v>43</v>
      </c>
      <c r="F159" s="35" t="n">
        <v>1.0</v>
      </c>
      <c r="G159" s="34" t="s">
        <v>212</v>
      </c>
      <c r="H159" s="34" t="s">
        <v>43</v>
      </c>
      <c r="I159" s="35"/>
      <c r="J159" s="35"/>
      <c r="K159" s="37"/>
    </row>
    <row r="160">
      <c r="A160" s="35" t="s">
        <v>43</v>
      </c>
      <c r="B160" s="34" t="s">
        <v>43</v>
      </c>
      <c r="C160" s="35" t="s">
        <v>43</v>
      </c>
      <c r="D160" s="35" t="s">
        <v>43</v>
      </c>
      <c r="E160" s="34" t="s">
        <v>43</v>
      </c>
      <c r="F160" s="35" t="n">
        <v>2.0</v>
      </c>
      <c r="G160" s="34" t="s">
        <v>213</v>
      </c>
      <c r="H160" s="34" t="s">
        <v>43</v>
      </c>
      <c r="I160" s="35"/>
      <c r="J160" s="35"/>
      <c r="K160" s="37"/>
    </row>
    <row r="161">
      <c r="A161" s="35" t="s">
        <v>43</v>
      </c>
      <c r="B161" s="34" t="s">
        <v>43</v>
      </c>
      <c r="C161" s="35" t="s">
        <v>43</v>
      </c>
      <c r="D161" s="35" t="s">
        <v>43</v>
      </c>
      <c r="E161" s="34" t="s">
        <v>43</v>
      </c>
      <c r="F161" s="35" t="n">
        <v>3.0</v>
      </c>
      <c r="G161" s="34" t="s">
        <v>214</v>
      </c>
      <c r="H161" s="34" t="s">
        <v>43</v>
      </c>
      <c r="I161" s="35"/>
      <c r="J161" s="35"/>
      <c r="K161" s="37"/>
    </row>
    <row r="162">
      <c r="A162" s="35" t="s">
        <v>43</v>
      </c>
      <c r="B162" s="34" t="s">
        <v>43</v>
      </c>
      <c r="C162" s="35" t="s">
        <v>43</v>
      </c>
      <c r="D162" s="35" t="s">
        <v>118</v>
      </c>
      <c r="E162" s="34" t="s">
        <v>215</v>
      </c>
      <c r="F162" s="35" t="s">
        <v>43</v>
      </c>
      <c r="G162" s="34" t="s">
        <v>43</v>
      </c>
      <c r="H162" s="34" t="s">
        <v>43</v>
      </c>
      <c r="I162" s="35" t="n">
        <v>4.0</v>
      </c>
      <c r="J162" s="35"/>
      <c r="K162" s="37" t="n">
        <v>2.0</v>
      </c>
    </row>
    <row r="163">
      <c r="A163" s="35" t="s">
        <v>43</v>
      </c>
      <c r="B163" s="34" t="s">
        <v>43</v>
      </c>
      <c r="C163" s="35" t="s">
        <v>43</v>
      </c>
      <c r="D163" s="35" t="s">
        <v>43</v>
      </c>
      <c r="E163" s="34" t="s">
        <v>43</v>
      </c>
      <c r="F163" s="35" t="n">
        <v>0.0</v>
      </c>
      <c r="G163" s="34" t="s">
        <v>216</v>
      </c>
      <c r="H163" s="34" t="s">
        <v>43</v>
      </c>
      <c r="I163" s="35"/>
      <c r="J163" s="35"/>
      <c r="K163" s="37"/>
    </row>
    <row r="164">
      <c r="A164" s="35" t="s">
        <v>43</v>
      </c>
      <c r="B164" s="34" t="s">
        <v>43</v>
      </c>
      <c r="C164" s="35" t="s">
        <v>43</v>
      </c>
      <c r="D164" s="35" t="s">
        <v>43</v>
      </c>
      <c r="E164" s="34" t="s">
        <v>43</v>
      </c>
      <c r="F164" s="35" t="n">
        <v>1.0</v>
      </c>
      <c r="G164" s="34" t="s">
        <v>217</v>
      </c>
      <c r="H164" s="34" t="s">
        <v>43</v>
      </c>
      <c r="I164" s="35"/>
      <c r="J164" s="35"/>
      <c r="K164" s="37"/>
    </row>
    <row r="165">
      <c r="A165" s="35" t="s">
        <v>43</v>
      </c>
      <c r="B165" s="34" t="s">
        <v>43</v>
      </c>
      <c r="C165" s="35" t="s">
        <v>43</v>
      </c>
      <c r="D165" s="35" t="s">
        <v>43</v>
      </c>
      <c r="E165" s="34" t="s">
        <v>43</v>
      </c>
      <c r="F165" s="35" t="n">
        <v>2.0</v>
      </c>
      <c r="G165" s="34" t="s">
        <v>218</v>
      </c>
      <c r="H165" s="34" t="s">
        <v>43</v>
      </c>
      <c r="I165" s="35"/>
      <c r="J165" s="35"/>
      <c r="K165" s="37"/>
    </row>
    <row r="166">
      <c r="A166" s="35" t="s">
        <v>43</v>
      </c>
      <c r="B166" s="34" t="s">
        <v>43</v>
      </c>
      <c r="C166" s="35" t="s">
        <v>43</v>
      </c>
      <c r="D166" s="35" t="s">
        <v>43</v>
      </c>
      <c r="E166" s="34" t="s">
        <v>43</v>
      </c>
      <c r="F166" s="35" t="n">
        <v>3.0</v>
      </c>
      <c r="G166" s="34" t="s">
        <v>219</v>
      </c>
      <c r="H166" s="34" t="s">
        <v>43</v>
      </c>
      <c r="I166" s="35"/>
      <c r="J166" s="35"/>
      <c r="K166" s="37"/>
    </row>
    <row r="167">
      <c r="A167" s="35" t="s">
        <v>43</v>
      </c>
      <c r="B167" s="34" t="s">
        <v>43</v>
      </c>
      <c r="C167" s="35" t="s">
        <v>43</v>
      </c>
      <c r="D167" s="35" t="s">
        <v>43</v>
      </c>
      <c r="E167" s="34" t="s">
        <v>43</v>
      </c>
      <c r="F167" s="35" t="s">
        <v>43</v>
      </c>
      <c r="G167" s="34" t="s">
        <v>43</v>
      </c>
      <c r="H167" s="34" t="s">
        <v>43</v>
      </c>
      <c r="I167" s="35"/>
      <c r="J167" s="35"/>
      <c r="K167" s="37"/>
    </row>
    <row r="168">
      <c r="A168" s="35" t="s">
        <v>43</v>
      </c>
      <c r="B168" s="34" t="s">
        <v>43</v>
      </c>
      <c r="C168" s="35" t="s">
        <v>43</v>
      </c>
      <c r="D168" s="35" t="s">
        <v>43</v>
      </c>
      <c r="E168" s="34" t="s">
        <v>43</v>
      </c>
      <c r="F168" s="35" t="s">
        <v>43</v>
      </c>
      <c r="G168" s="34" t="s">
        <v>43</v>
      </c>
      <c r="H168" s="34" t="s">
        <v>43</v>
      </c>
      <c r="I168" s="35"/>
      <c r="J168" s="35"/>
      <c r="K168" s="37"/>
    </row>
    <row r="169">
      <c r="A169" s="86" t="s">
        <v>15</v>
      </c>
      <c r="B169" s="87" t="s">
        <v>16</v>
      </c>
      <c r="C169" s="88" t="s">
        <v>10</v>
      </c>
      <c r="D169" s="89" t="s">
        <v>6</v>
      </c>
      <c r="E169" s="90" t="s">
        <v>1</v>
      </c>
      <c r="F169" s="91" t="s">
        <v>2</v>
      </c>
      <c r="G169" s="92" t="s">
        <v>8</v>
      </c>
      <c r="H169" s="93" t="s">
        <v>9</v>
      </c>
      <c r="I169" s="94" t="s">
        <v>23</v>
      </c>
      <c r="J169" s="95" t="s">
        <v>11</v>
      </c>
      <c r="K169" s="96" t="s">
        <v>3</v>
      </c>
      <c r="L169" s="97" t="s">
        <v>220</v>
      </c>
      <c r="M169" s="98" t="s">
        <v>4</v>
      </c>
      <c r="N169" s="99">
        <f>SUM(K170:K198)</f>
      </c>
    </row>
    <row r="170">
      <c r="A170" s="35" t="s">
        <v>221</v>
      </c>
      <c r="B170" s="34" t="s">
        <v>29</v>
      </c>
      <c r="C170" s="35" t="s">
        <v>63</v>
      </c>
      <c r="D170" s="34" t="s">
        <v>43</v>
      </c>
      <c r="E170" s="34" t="s">
        <v>43</v>
      </c>
      <c r="F170" s="34" t="s">
        <v>43</v>
      </c>
      <c r="G170" s="34" t="s">
        <v>43</v>
      </c>
      <c r="H170" s="34" t="s">
        <v>43</v>
      </c>
      <c r="I170" s="34" t="s">
        <v>43</v>
      </c>
      <c r="J170" s="34" t="s">
        <v>43</v>
      </c>
      <c r="K170" s="34" t="s">
        <v>43</v>
      </c>
    </row>
    <row r="171">
      <c r="A171" s="35" t="s">
        <v>43</v>
      </c>
      <c r="B171" s="34" t="s">
        <v>43</v>
      </c>
      <c r="C171" s="35" t="s">
        <v>43</v>
      </c>
      <c r="D171" s="35" t="s">
        <v>45</v>
      </c>
      <c r="E171" s="34" t="s">
        <v>222</v>
      </c>
      <c r="F171" s="35" t="s">
        <v>43</v>
      </c>
      <c r="G171" s="34" t="s">
        <v>223</v>
      </c>
      <c r="H171" s="34" t="s">
        <v>43</v>
      </c>
      <c r="I171" s="35" t="n">
        <v>5.0</v>
      </c>
      <c r="J171" s="35"/>
      <c r="K171" s="37" t="n">
        <v>0.25</v>
      </c>
    </row>
    <row r="172">
      <c r="A172" s="35" t="s">
        <v>43</v>
      </c>
      <c r="B172" s="34" t="s">
        <v>43</v>
      </c>
      <c r="C172" s="35" t="s">
        <v>43</v>
      </c>
      <c r="D172" s="35" t="s">
        <v>45</v>
      </c>
      <c r="E172" s="34" t="s">
        <v>224</v>
      </c>
      <c r="F172" s="35" t="s">
        <v>43</v>
      </c>
      <c r="G172" s="34" t="s">
        <v>225</v>
      </c>
      <c r="H172" s="34" t="s">
        <v>43</v>
      </c>
      <c r="I172" s="35" t="n">
        <v>5.0</v>
      </c>
      <c r="J172" s="35"/>
      <c r="K172" s="37" t="n">
        <v>0.25</v>
      </c>
    </row>
    <row r="173">
      <c r="A173" s="35" t="s">
        <v>43</v>
      </c>
      <c r="B173" s="34" t="s">
        <v>43</v>
      </c>
      <c r="C173" s="35" t="s">
        <v>43</v>
      </c>
      <c r="D173" s="35" t="s">
        <v>45</v>
      </c>
      <c r="E173" s="34" t="s">
        <v>226</v>
      </c>
      <c r="F173" s="35" t="s">
        <v>43</v>
      </c>
      <c r="G173" s="34" t="s">
        <v>227</v>
      </c>
      <c r="H173" s="34" t="s">
        <v>43</v>
      </c>
      <c r="I173" s="35" t="n">
        <v>5.0</v>
      </c>
      <c r="J173" s="35"/>
      <c r="K173" s="37" t="n">
        <v>0.5</v>
      </c>
    </row>
    <row r="174">
      <c r="A174" s="35" t="s">
        <v>43</v>
      </c>
      <c r="B174" s="34" t="s">
        <v>43</v>
      </c>
      <c r="C174" s="35" t="s">
        <v>43</v>
      </c>
      <c r="D174" s="35" t="s">
        <v>45</v>
      </c>
      <c r="E174" s="34" t="s">
        <v>228</v>
      </c>
      <c r="F174" s="35" t="s">
        <v>43</v>
      </c>
      <c r="G174" s="34" t="s">
        <v>229</v>
      </c>
      <c r="H174" s="34" t="s">
        <v>43</v>
      </c>
      <c r="I174" s="35" t="n">
        <v>5.0</v>
      </c>
      <c r="J174" s="35"/>
      <c r="K174" s="37" t="n">
        <v>0.5</v>
      </c>
    </row>
    <row r="175">
      <c r="A175" s="35" t="s">
        <v>43</v>
      </c>
      <c r="B175" s="34" t="s">
        <v>43</v>
      </c>
      <c r="C175" s="35" t="s">
        <v>43</v>
      </c>
      <c r="D175" s="35" t="s">
        <v>45</v>
      </c>
      <c r="E175" s="34" t="s">
        <v>230</v>
      </c>
      <c r="F175" s="35" t="s">
        <v>43</v>
      </c>
      <c r="G175" s="34" t="s">
        <v>229</v>
      </c>
      <c r="H175" s="34" t="s">
        <v>43</v>
      </c>
      <c r="I175" s="35" t="n">
        <v>5.0</v>
      </c>
      <c r="J175" s="35"/>
      <c r="K175" s="37" t="n">
        <v>0.5</v>
      </c>
    </row>
    <row r="176">
      <c r="A176" s="35" t="s">
        <v>43</v>
      </c>
      <c r="B176" s="34" t="s">
        <v>43</v>
      </c>
      <c r="C176" s="35" t="s">
        <v>43</v>
      </c>
      <c r="D176" s="35" t="s">
        <v>118</v>
      </c>
      <c r="E176" s="34" t="s">
        <v>231</v>
      </c>
      <c r="F176" s="35" t="s">
        <v>43</v>
      </c>
      <c r="G176" s="34" t="s">
        <v>43</v>
      </c>
      <c r="H176" s="34" t="s">
        <v>43</v>
      </c>
      <c r="I176" s="35" t="n">
        <v>5.0</v>
      </c>
      <c r="J176" s="35"/>
      <c r="K176" s="37" t="n">
        <v>2.0</v>
      </c>
    </row>
    <row r="177">
      <c r="A177" s="35" t="s">
        <v>43</v>
      </c>
      <c r="B177" s="34" t="s">
        <v>43</v>
      </c>
      <c r="C177" s="35" t="s">
        <v>43</v>
      </c>
      <c r="D177" s="35" t="s">
        <v>43</v>
      </c>
      <c r="E177" s="34" t="s">
        <v>43</v>
      </c>
      <c r="F177" s="35" t="n">
        <v>0.0</v>
      </c>
      <c r="G177" s="34" t="s">
        <v>232</v>
      </c>
      <c r="H177" s="34" t="s">
        <v>43</v>
      </c>
      <c r="I177" s="35"/>
      <c r="J177" s="35"/>
      <c r="K177" s="37"/>
    </row>
    <row r="178">
      <c r="A178" s="35" t="s">
        <v>43</v>
      </c>
      <c r="B178" s="34" t="s">
        <v>43</v>
      </c>
      <c r="C178" s="35" t="s">
        <v>43</v>
      </c>
      <c r="D178" s="35" t="s">
        <v>43</v>
      </c>
      <c r="E178" s="34" t="s">
        <v>43</v>
      </c>
      <c r="F178" s="35" t="n">
        <v>1.0</v>
      </c>
      <c r="G178" s="34" t="s">
        <v>233</v>
      </c>
      <c r="H178" s="34" t="s">
        <v>43</v>
      </c>
      <c r="I178" s="35"/>
      <c r="J178" s="35"/>
      <c r="K178" s="37"/>
    </row>
    <row r="179">
      <c r="A179" s="35" t="s">
        <v>43</v>
      </c>
      <c r="B179" s="34" t="s">
        <v>43</v>
      </c>
      <c r="C179" s="35" t="s">
        <v>43</v>
      </c>
      <c r="D179" s="35" t="s">
        <v>43</v>
      </c>
      <c r="E179" s="34" t="s">
        <v>43</v>
      </c>
      <c r="F179" s="35" t="n">
        <v>2.0</v>
      </c>
      <c r="G179" s="34" t="s">
        <v>234</v>
      </c>
      <c r="H179" s="34" t="s">
        <v>43</v>
      </c>
      <c r="I179" s="35"/>
      <c r="J179" s="35"/>
      <c r="K179" s="37"/>
    </row>
    <row r="180">
      <c r="A180" s="35" t="s">
        <v>43</v>
      </c>
      <c r="B180" s="34" t="s">
        <v>43</v>
      </c>
      <c r="C180" s="35" t="s">
        <v>43</v>
      </c>
      <c r="D180" s="35" t="s">
        <v>43</v>
      </c>
      <c r="E180" s="34" t="s">
        <v>43</v>
      </c>
      <c r="F180" s="35" t="n">
        <v>3.0</v>
      </c>
      <c r="G180" s="34" t="s">
        <v>235</v>
      </c>
      <c r="H180" s="34" t="s">
        <v>43</v>
      </c>
      <c r="I180" s="35"/>
      <c r="J180" s="35"/>
      <c r="K180" s="37"/>
    </row>
    <row r="181">
      <c r="A181" s="35" t="s">
        <v>236</v>
      </c>
      <c r="B181" s="34" t="s">
        <v>237</v>
      </c>
      <c r="C181" s="35" t="s">
        <v>63</v>
      </c>
      <c r="D181" s="34" t="s">
        <v>43</v>
      </c>
      <c r="E181" s="34" t="s">
        <v>43</v>
      </c>
      <c r="F181" s="34" t="s">
        <v>43</v>
      </c>
      <c r="G181" s="34" t="s">
        <v>43</v>
      </c>
      <c r="H181" s="34" t="s">
        <v>43</v>
      </c>
      <c r="I181" s="34" t="s">
        <v>43</v>
      </c>
      <c r="J181" s="34" t="s">
        <v>43</v>
      </c>
      <c r="K181" s="34" t="s">
        <v>43</v>
      </c>
    </row>
    <row r="182">
      <c r="A182" s="35" t="s">
        <v>43</v>
      </c>
      <c r="B182" s="34" t="s">
        <v>43</v>
      </c>
      <c r="C182" s="35" t="s">
        <v>43</v>
      </c>
      <c r="D182" s="35" t="s">
        <v>118</v>
      </c>
      <c r="E182" s="34" t="s">
        <v>238</v>
      </c>
      <c r="F182" s="35" t="s">
        <v>43</v>
      </c>
      <c r="G182" s="34" t="s">
        <v>43</v>
      </c>
      <c r="H182" s="34" t="s">
        <v>43</v>
      </c>
      <c r="I182" s="35" t="n">
        <v>5.0</v>
      </c>
      <c r="J182" s="35"/>
      <c r="K182" s="37" t="n">
        <v>2.0</v>
      </c>
    </row>
    <row r="183">
      <c r="A183" s="35" t="s">
        <v>43</v>
      </c>
      <c r="B183" s="34" t="s">
        <v>43</v>
      </c>
      <c r="C183" s="35" t="s">
        <v>43</v>
      </c>
      <c r="D183" s="35" t="s">
        <v>43</v>
      </c>
      <c r="E183" s="34" t="s">
        <v>43</v>
      </c>
      <c r="F183" s="35" t="n">
        <v>0.0</v>
      </c>
      <c r="G183" s="34" t="s">
        <v>239</v>
      </c>
      <c r="H183" s="34" t="s">
        <v>43</v>
      </c>
      <c r="I183" s="35"/>
      <c r="J183" s="35"/>
      <c r="K183" s="37"/>
    </row>
    <row r="184">
      <c r="A184" s="35" t="s">
        <v>43</v>
      </c>
      <c r="B184" s="34" t="s">
        <v>43</v>
      </c>
      <c r="C184" s="35" t="s">
        <v>43</v>
      </c>
      <c r="D184" s="35" t="s">
        <v>43</v>
      </c>
      <c r="E184" s="34" t="s">
        <v>43</v>
      </c>
      <c r="F184" s="35" t="n">
        <v>1.0</v>
      </c>
      <c r="G184" s="34" t="s">
        <v>240</v>
      </c>
      <c r="H184" s="34" t="s">
        <v>43</v>
      </c>
      <c r="I184" s="35"/>
      <c r="J184" s="35"/>
      <c r="K184" s="37"/>
    </row>
    <row r="185">
      <c r="A185" s="35" t="s">
        <v>43</v>
      </c>
      <c r="B185" s="34" t="s">
        <v>43</v>
      </c>
      <c r="C185" s="35" t="s">
        <v>43</v>
      </c>
      <c r="D185" s="35" t="s">
        <v>43</v>
      </c>
      <c r="E185" s="34" t="s">
        <v>43</v>
      </c>
      <c r="F185" s="35" t="n">
        <v>2.0</v>
      </c>
      <c r="G185" s="34" t="s">
        <v>241</v>
      </c>
      <c r="H185" s="34" t="s">
        <v>43</v>
      </c>
      <c r="I185" s="35"/>
      <c r="J185" s="35"/>
      <c r="K185" s="37"/>
    </row>
    <row r="186">
      <c r="A186" s="35" t="s">
        <v>43</v>
      </c>
      <c r="B186" s="34" t="s">
        <v>43</v>
      </c>
      <c r="C186" s="35" t="s">
        <v>43</v>
      </c>
      <c r="D186" s="35" t="s">
        <v>43</v>
      </c>
      <c r="E186" s="34" t="s">
        <v>43</v>
      </c>
      <c r="F186" s="35" t="n">
        <v>3.0</v>
      </c>
      <c r="G186" s="34" t="s">
        <v>242</v>
      </c>
      <c r="H186" s="34" t="s">
        <v>43</v>
      </c>
      <c r="I186" s="35"/>
      <c r="J186" s="35"/>
      <c r="K186" s="37"/>
    </row>
    <row r="187">
      <c r="A187" s="35" t="s">
        <v>43</v>
      </c>
      <c r="B187" s="34" t="s">
        <v>43</v>
      </c>
      <c r="C187" s="35" t="s">
        <v>43</v>
      </c>
      <c r="D187" s="35" t="s">
        <v>118</v>
      </c>
      <c r="E187" s="34" t="s">
        <v>243</v>
      </c>
      <c r="F187" s="35" t="s">
        <v>43</v>
      </c>
      <c r="G187" s="34" t="s">
        <v>43</v>
      </c>
      <c r="H187" s="34" t="s">
        <v>43</v>
      </c>
      <c r="I187" s="35" t="n">
        <v>5.0</v>
      </c>
      <c r="J187" s="35"/>
      <c r="K187" s="37" t="n">
        <v>2.0</v>
      </c>
    </row>
    <row r="188">
      <c r="A188" s="35" t="s">
        <v>43</v>
      </c>
      <c r="B188" s="34" t="s">
        <v>43</v>
      </c>
      <c r="C188" s="35" t="s">
        <v>43</v>
      </c>
      <c r="D188" s="35" t="s">
        <v>43</v>
      </c>
      <c r="E188" s="34" t="s">
        <v>43</v>
      </c>
      <c r="F188" s="35" t="n">
        <v>0.0</v>
      </c>
      <c r="G188" s="34" t="s">
        <v>244</v>
      </c>
      <c r="H188" s="34" t="s">
        <v>43</v>
      </c>
      <c r="I188" s="35"/>
      <c r="J188" s="35"/>
      <c r="K188" s="37"/>
    </row>
    <row r="189">
      <c r="A189" s="35" t="s">
        <v>43</v>
      </c>
      <c r="B189" s="34" t="s">
        <v>43</v>
      </c>
      <c r="C189" s="35" t="s">
        <v>43</v>
      </c>
      <c r="D189" s="35" t="s">
        <v>43</v>
      </c>
      <c r="E189" s="34" t="s">
        <v>43</v>
      </c>
      <c r="F189" s="35" t="n">
        <v>1.0</v>
      </c>
      <c r="G189" s="34" t="s">
        <v>245</v>
      </c>
      <c r="H189" s="34" t="s">
        <v>43</v>
      </c>
      <c r="I189" s="35"/>
      <c r="J189" s="35"/>
      <c r="K189" s="37"/>
    </row>
    <row r="190">
      <c r="A190" s="35" t="s">
        <v>43</v>
      </c>
      <c r="B190" s="34" t="s">
        <v>43</v>
      </c>
      <c r="C190" s="35" t="s">
        <v>43</v>
      </c>
      <c r="D190" s="35" t="s">
        <v>43</v>
      </c>
      <c r="E190" s="34" t="s">
        <v>43</v>
      </c>
      <c r="F190" s="35" t="n">
        <v>2.0</v>
      </c>
      <c r="G190" s="34" t="s">
        <v>246</v>
      </c>
      <c r="H190" s="34" t="s">
        <v>43</v>
      </c>
      <c r="I190" s="35"/>
      <c r="J190" s="35"/>
      <c r="K190" s="37"/>
    </row>
    <row r="191">
      <c r="A191" s="35" t="s">
        <v>43</v>
      </c>
      <c r="B191" s="34" t="s">
        <v>43</v>
      </c>
      <c r="C191" s="35" t="s">
        <v>43</v>
      </c>
      <c r="D191" s="35" t="s">
        <v>43</v>
      </c>
      <c r="E191" s="34" t="s">
        <v>43</v>
      </c>
      <c r="F191" s="35" t="n">
        <v>3.0</v>
      </c>
      <c r="G191" s="34" t="s">
        <v>247</v>
      </c>
      <c r="H191" s="34" t="s">
        <v>43</v>
      </c>
      <c r="I191" s="35"/>
      <c r="J191" s="35"/>
      <c r="K191" s="37"/>
    </row>
    <row r="192">
      <c r="A192" s="35" t="s">
        <v>43</v>
      </c>
      <c r="B192" s="34" t="s">
        <v>43</v>
      </c>
      <c r="C192" s="35" t="s">
        <v>43</v>
      </c>
      <c r="D192" s="35" t="s">
        <v>118</v>
      </c>
      <c r="E192" s="34" t="s">
        <v>248</v>
      </c>
      <c r="F192" s="35" t="s">
        <v>43</v>
      </c>
      <c r="G192" s="34" t="s">
        <v>43</v>
      </c>
      <c r="H192" s="34" t="s">
        <v>43</v>
      </c>
      <c r="I192" s="35" t="n">
        <v>5.0</v>
      </c>
      <c r="J192" s="35"/>
      <c r="K192" s="37" t="n">
        <v>2.0</v>
      </c>
    </row>
    <row r="193">
      <c r="A193" s="35" t="s">
        <v>43</v>
      </c>
      <c r="B193" s="34" t="s">
        <v>43</v>
      </c>
      <c r="C193" s="35" t="s">
        <v>43</v>
      </c>
      <c r="D193" s="35" t="s">
        <v>43</v>
      </c>
      <c r="E193" s="34" t="s">
        <v>43</v>
      </c>
      <c r="F193" s="35" t="n">
        <v>0.0</v>
      </c>
      <c r="G193" s="34" t="s">
        <v>249</v>
      </c>
      <c r="H193" s="34" t="s">
        <v>43</v>
      </c>
      <c r="I193" s="35"/>
      <c r="J193" s="35"/>
      <c r="K193" s="37"/>
    </row>
    <row r="194">
      <c r="A194" s="35" t="s">
        <v>43</v>
      </c>
      <c r="B194" s="34" t="s">
        <v>43</v>
      </c>
      <c r="C194" s="35" t="s">
        <v>43</v>
      </c>
      <c r="D194" s="35" t="s">
        <v>43</v>
      </c>
      <c r="E194" s="34" t="s">
        <v>43</v>
      </c>
      <c r="F194" s="35" t="n">
        <v>1.0</v>
      </c>
      <c r="G194" s="34" t="s">
        <v>250</v>
      </c>
      <c r="H194" s="34" t="s">
        <v>43</v>
      </c>
      <c r="I194" s="35"/>
      <c r="J194" s="35"/>
      <c r="K194" s="37"/>
    </row>
    <row r="195">
      <c r="A195" s="35" t="s">
        <v>43</v>
      </c>
      <c r="B195" s="34" t="s">
        <v>43</v>
      </c>
      <c r="C195" s="35" t="s">
        <v>43</v>
      </c>
      <c r="D195" s="35" t="s">
        <v>43</v>
      </c>
      <c r="E195" s="34" t="s">
        <v>43</v>
      </c>
      <c r="F195" s="35" t="n">
        <v>2.0</v>
      </c>
      <c r="G195" s="34" t="s">
        <v>251</v>
      </c>
      <c r="H195" s="34" t="s">
        <v>43</v>
      </c>
      <c r="I195" s="35"/>
      <c r="J195" s="35"/>
      <c r="K195" s="37"/>
    </row>
    <row r="196">
      <c r="A196" s="35" t="s">
        <v>43</v>
      </c>
      <c r="B196" s="34" t="s">
        <v>43</v>
      </c>
      <c r="C196" s="35" t="s">
        <v>43</v>
      </c>
      <c r="D196" s="35" t="s">
        <v>43</v>
      </c>
      <c r="E196" s="34" t="s">
        <v>43</v>
      </c>
      <c r="F196" s="35" t="n">
        <v>3.0</v>
      </c>
      <c r="G196" s="34" t="s">
        <v>252</v>
      </c>
      <c r="H196" s="34" t="s">
        <v>43</v>
      </c>
      <c r="I196" s="35"/>
      <c r="J196" s="35"/>
      <c r="K196" s="37"/>
    </row>
    <row r="197">
      <c r="A197" s="35" t="s">
        <v>43</v>
      </c>
      <c r="B197" s="34" t="s">
        <v>43</v>
      </c>
      <c r="C197" s="35" t="s">
        <v>43</v>
      </c>
      <c r="D197" s="35" t="s">
        <v>43</v>
      </c>
      <c r="E197" s="34" t="s">
        <v>43</v>
      </c>
      <c r="F197" s="35" t="s">
        <v>43</v>
      </c>
      <c r="G197" s="34" t="s">
        <v>43</v>
      </c>
      <c r="H197" s="34" t="s">
        <v>43</v>
      </c>
      <c r="I197" s="35"/>
      <c r="J197" s="35"/>
      <c r="K197" s="37"/>
    </row>
    <row r="198">
      <c r="A198" s="35" t="s">
        <v>43</v>
      </c>
      <c r="B198" s="34" t="s">
        <v>43</v>
      </c>
      <c r="C198" s="35" t="s">
        <v>43</v>
      </c>
      <c r="D198" s="35" t="s">
        <v>43</v>
      </c>
      <c r="E198" s="34" t="s">
        <v>43</v>
      </c>
      <c r="F198" s="35" t="s">
        <v>43</v>
      </c>
      <c r="G198" s="34" t="s">
        <v>43</v>
      </c>
      <c r="H198" s="34" t="s">
        <v>43</v>
      </c>
      <c r="I198" s="35"/>
      <c r="J198" s="35"/>
      <c r="K198" s="37"/>
    </row>
    <row r="199">
      <c r="A199" s="100" t="s">
        <v>15</v>
      </c>
      <c r="B199" s="101" t="s">
        <v>16</v>
      </c>
      <c r="C199" s="102" t="s">
        <v>10</v>
      </c>
      <c r="D199" s="103" t="s">
        <v>6</v>
      </c>
      <c r="E199" s="104" t="s">
        <v>1</v>
      </c>
      <c r="F199" s="105" t="s">
        <v>2</v>
      </c>
      <c r="G199" s="106" t="s">
        <v>8</v>
      </c>
      <c r="H199" s="107" t="s">
        <v>9</v>
      </c>
      <c r="I199" s="108" t="s">
        <v>23</v>
      </c>
      <c r="J199" s="109" t="s">
        <v>11</v>
      </c>
      <c r="K199" s="110" t="s">
        <v>3</v>
      </c>
      <c r="L199" s="111" t="s">
        <v>253</v>
      </c>
      <c r="M199" s="112" t="s">
        <v>4</v>
      </c>
      <c r="N199" s="113">
        <f>SUM(K200:K247)</f>
      </c>
    </row>
    <row r="200">
      <c r="A200" s="35" t="s">
        <v>254</v>
      </c>
      <c r="B200" s="34" t="s">
        <v>255</v>
      </c>
      <c r="C200" s="35" t="s">
        <v>63</v>
      </c>
      <c r="D200" s="34" t="s">
        <v>43</v>
      </c>
      <c r="E200" s="34" t="s">
        <v>43</v>
      </c>
      <c r="F200" s="34" t="s">
        <v>43</v>
      </c>
      <c r="G200" s="34" t="s">
        <v>43</v>
      </c>
      <c r="H200" s="34" t="s">
        <v>43</v>
      </c>
      <c r="I200" s="34" t="s">
        <v>43</v>
      </c>
      <c r="J200" s="34" t="s">
        <v>43</v>
      </c>
      <c r="K200" s="34" t="s">
        <v>43</v>
      </c>
    </row>
    <row r="201">
      <c r="A201" s="35" t="s">
        <v>43</v>
      </c>
      <c r="B201" s="34" t="s">
        <v>43</v>
      </c>
      <c r="C201" s="35" t="s">
        <v>43</v>
      </c>
      <c r="D201" s="35" t="s">
        <v>45</v>
      </c>
      <c r="E201" s="34" t="s">
        <v>256</v>
      </c>
      <c r="F201" s="35" t="s">
        <v>43</v>
      </c>
      <c r="G201" s="34" t="s">
        <v>257</v>
      </c>
      <c r="H201" s="34" t="s">
        <v>43</v>
      </c>
      <c r="I201" s="35" t="n">
        <v>6.0</v>
      </c>
      <c r="J201" s="35"/>
      <c r="K201" s="37" t="n">
        <v>0.5</v>
      </c>
    </row>
    <row r="202">
      <c r="A202" s="35" t="s">
        <v>43</v>
      </c>
      <c r="B202" s="34" t="s">
        <v>43</v>
      </c>
      <c r="C202" s="35" t="s">
        <v>43</v>
      </c>
      <c r="D202" s="35" t="s">
        <v>45</v>
      </c>
      <c r="E202" s="34" t="s">
        <v>258</v>
      </c>
      <c r="F202" s="35" t="s">
        <v>43</v>
      </c>
      <c r="G202" s="34" t="s">
        <v>259</v>
      </c>
      <c r="H202" s="34" t="s">
        <v>43</v>
      </c>
      <c r="I202" s="35" t="n">
        <v>6.0</v>
      </c>
      <c r="J202" s="35"/>
      <c r="K202" s="37" t="n">
        <v>0.5</v>
      </c>
    </row>
    <row r="203">
      <c r="A203" s="35" t="s">
        <v>43</v>
      </c>
      <c r="B203" s="34" t="s">
        <v>43</v>
      </c>
      <c r="C203" s="35" t="s">
        <v>43</v>
      </c>
      <c r="D203" s="35" t="s">
        <v>45</v>
      </c>
      <c r="E203" s="34" t="s">
        <v>260</v>
      </c>
      <c r="F203" s="35" t="s">
        <v>43</v>
      </c>
      <c r="G203" s="34" t="s">
        <v>261</v>
      </c>
      <c r="H203" s="34" t="s">
        <v>43</v>
      </c>
      <c r="I203" s="35" t="n">
        <v>6.0</v>
      </c>
      <c r="J203" s="35"/>
      <c r="K203" s="37" t="n">
        <v>0.5</v>
      </c>
    </row>
    <row r="204">
      <c r="A204" s="35" t="s">
        <v>43</v>
      </c>
      <c r="B204" s="34" t="s">
        <v>43</v>
      </c>
      <c r="C204" s="35" t="s">
        <v>43</v>
      </c>
      <c r="D204" s="35" t="s">
        <v>45</v>
      </c>
      <c r="E204" s="34" t="s">
        <v>262</v>
      </c>
      <c r="F204" s="35" t="s">
        <v>43</v>
      </c>
      <c r="G204" s="34" t="s">
        <v>263</v>
      </c>
      <c r="H204" s="34" t="s">
        <v>43</v>
      </c>
      <c r="I204" s="35" t="n">
        <v>6.0</v>
      </c>
      <c r="J204" s="35"/>
      <c r="K204" s="37" t="n">
        <v>0.5</v>
      </c>
    </row>
    <row r="205">
      <c r="A205" s="35" t="s">
        <v>43</v>
      </c>
      <c r="B205" s="34" t="s">
        <v>43</v>
      </c>
      <c r="C205" s="35" t="s">
        <v>43</v>
      </c>
      <c r="D205" s="35" t="s">
        <v>118</v>
      </c>
      <c r="E205" s="34" t="s">
        <v>264</v>
      </c>
      <c r="F205" s="35" t="s">
        <v>43</v>
      </c>
      <c r="G205" s="34" t="s">
        <v>43</v>
      </c>
      <c r="H205" s="34" t="s">
        <v>43</v>
      </c>
      <c r="I205" s="35" t="n">
        <v>6.0</v>
      </c>
      <c r="J205" s="35"/>
      <c r="K205" s="37" t="n">
        <v>2.0</v>
      </c>
    </row>
    <row r="206">
      <c r="A206" s="35" t="s">
        <v>43</v>
      </c>
      <c r="B206" s="34" t="s">
        <v>43</v>
      </c>
      <c r="C206" s="35" t="s">
        <v>43</v>
      </c>
      <c r="D206" s="35" t="s">
        <v>43</v>
      </c>
      <c r="E206" s="34" t="s">
        <v>43</v>
      </c>
      <c r="F206" s="35" t="n">
        <v>0.0</v>
      </c>
      <c r="G206" s="34" t="s">
        <v>265</v>
      </c>
      <c r="H206" s="34" t="s">
        <v>43</v>
      </c>
      <c r="I206" s="35"/>
      <c r="J206" s="35"/>
      <c r="K206" s="37"/>
    </row>
    <row r="207">
      <c r="A207" s="35" t="s">
        <v>43</v>
      </c>
      <c r="B207" s="34" t="s">
        <v>43</v>
      </c>
      <c r="C207" s="35" t="s">
        <v>43</v>
      </c>
      <c r="D207" s="35" t="s">
        <v>43</v>
      </c>
      <c r="E207" s="34" t="s">
        <v>43</v>
      </c>
      <c r="F207" s="35" t="n">
        <v>1.0</v>
      </c>
      <c r="G207" s="34" t="s">
        <v>266</v>
      </c>
      <c r="H207" s="34" t="s">
        <v>43</v>
      </c>
      <c r="I207" s="35"/>
      <c r="J207" s="35"/>
      <c r="K207" s="37"/>
    </row>
    <row r="208">
      <c r="A208" s="35" t="s">
        <v>43</v>
      </c>
      <c r="B208" s="34" t="s">
        <v>43</v>
      </c>
      <c r="C208" s="35" t="s">
        <v>43</v>
      </c>
      <c r="D208" s="35" t="s">
        <v>43</v>
      </c>
      <c r="E208" s="34" t="s">
        <v>43</v>
      </c>
      <c r="F208" s="35" t="n">
        <v>2.0</v>
      </c>
      <c r="G208" s="34" t="s">
        <v>267</v>
      </c>
      <c r="H208" s="34" t="s">
        <v>43</v>
      </c>
      <c r="I208" s="35"/>
      <c r="J208" s="35"/>
      <c r="K208" s="37"/>
    </row>
    <row r="209">
      <c r="A209" s="35" t="s">
        <v>43</v>
      </c>
      <c r="B209" s="34" t="s">
        <v>43</v>
      </c>
      <c r="C209" s="35" t="s">
        <v>43</v>
      </c>
      <c r="D209" s="35" t="s">
        <v>43</v>
      </c>
      <c r="E209" s="34" t="s">
        <v>43</v>
      </c>
      <c r="F209" s="35" t="n">
        <v>3.0</v>
      </c>
      <c r="G209" s="34" t="s">
        <v>268</v>
      </c>
      <c r="H209" s="34" t="s">
        <v>43</v>
      </c>
      <c r="I209" s="35"/>
      <c r="J209" s="35"/>
      <c r="K209" s="37"/>
    </row>
    <row r="210">
      <c r="A210" s="35" t="s">
        <v>43</v>
      </c>
      <c r="B210" s="34" t="s">
        <v>43</v>
      </c>
      <c r="C210" s="35" t="s">
        <v>43</v>
      </c>
      <c r="D210" s="35" t="s">
        <v>118</v>
      </c>
      <c r="E210" s="34" t="s">
        <v>269</v>
      </c>
      <c r="F210" s="35" t="s">
        <v>43</v>
      </c>
      <c r="G210" s="34" t="s">
        <v>43</v>
      </c>
      <c r="H210" s="34" t="s">
        <v>43</v>
      </c>
      <c r="I210" s="35" t="n">
        <v>6.0</v>
      </c>
      <c r="J210" s="35"/>
      <c r="K210" s="37" t="n">
        <v>2.0</v>
      </c>
    </row>
    <row r="211">
      <c r="A211" s="35" t="s">
        <v>43</v>
      </c>
      <c r="B211" s="34" t="s">
        <v>43</v>
      </c>
      <c r="C211" s="35" t="s">
        <v>43</v>
      </c>
      <c r="D211" s="35" t="s">
        <v>43</v>
      </c>
      <c r="E211" s="34" t="s">
        <v>43</v>
      </c>
      <c r="F211" s="35" t="n">
        <v>0.0</v>
      </c>
      <c r="G211" s="34" t="s">
        <v>270</v>
      </c>
      <c r="H211" s="34" t="s">
        <v>43</v>
      </c>
      <c r="I211" s="35"/>
      <c r="J211" s="35"/>
      <c r="K211" s="37"/>
    </row>
    <row r="212">
      <c r="A212" s="35" t="s">
        <v>43</v>
      </c>
      <c r="B212" s="34" t="s">
        <v>43</v>
      </c>
      <c r="C212" s="35" t="s">
        <v>43</v>
      </c>
      <c r="D212" s="35" t="s">
        <v>43</v>
      </c>
      <c r="E212" s="34" t="s">
        <v>43</v>
      </c>
      <c r="F212" s="35" t="n">
        <v>1.0</v>
      </c>
      <c r="G212" s="34" t="s">
        <v>271</v>
      </c>
      <c r="H212" s="34" t="s">
        <v>43</v>
      </c>
      <c r="I212" s="35"/>
      <c r="J212" s="35"/>
      <c r="K212" s="37"/>
    </row>
    <row r="213">
      <c r="A213" s="35" t="s">
        <v>43</v>
      </c>
      <c r="B213" s="34" t="s">
        <v>43</v>
      </c>
      <c r="C213" s="35" t="s">
        <v>43</v>
      </c>
      <c r="D213" s="35" t="s">
        <v>43</v>
      </c>
      <c r="E213" s="34" t="s">
        <v>43</v>
      </c>
      <c r="F213" s="35" t="n">
        <v>2.0</v>
      </c>
      <c r="G213" s="34" t="s">
        <v>272</v>
      </c>
      <c r="H213" s="34" t="s">
        <v>43</v>
      </c>
      <c r="I213" s="35"/>
      <c r="J213" s="35"/>
      <c r="K213" s="37"/>
    </row>
    <row r="214">
      <c r="A214" s="35" t="s">
        <v>43</v>
      </c>
      <c r="B214" s="34" t="s">
        <v>43</v>
      </c>
      <c r="C214" s="35" t="s">
        <v>43</v>
      </c>
      <c r="D214" s="35" t="s">
        <v>43</v>
      </c>
      <c r="E214" s="34" t="s">
        <v>43</v>
      </c>
      <c r="F214" s="35" t="n">
        <v>3.0</v>
      </c>
      <c r="G214" s="34" t="s">
        <v>273</v>
      </c>
      <c r="H214" s="34" t="s">
        <v>43</v>
      </c>
      <c r="I214" s="35"/>
      <c r="J214" s="35"/>
      <c r="K214" s="37"/>
    </row>
    <row r="215">
      <c r="A215" s="35" t="s">
        <v>274</v>
      </c>
      <c r="B215" s="34" t="s">
        <v>275</v>
      </c>
      <c r="C215" s="35" t="s">
        <v>63</v>
      </c>
      <c r="D215" s="34" t="s">
        <v>43</v>
      </c>
      <c r="E215" s="34" t="s">
        <v>43</v>
      </c>
      <c r="F215" s="34" t="s">
        <v>43</v>
      </c>
      <c r="G215" s="34" t="s">
        <v>43</v>
      </c>
      <c r="H215" s="34" t="s">
        <v>43</v>
      </c>
      <c r="I215" s="34" t="s">
        <v>43</v>
      </c>
      <c r="J215" s="34" t="s">
        <v>43</v>
      </c>
      <c r="K215" s="34" t="s">
        <v>43</v>
      </c>
    </row>
    <row r="216">
      <c r="A216" s="35" t="s">
        <v>43</v>
      </c>
      <c r="B216" s="34" t="s">
        <v>43</v>
      </c>
      <c r="C216" s="35" t="s">
        <v>43</v>
      </c>
      <c r="D216" s="35" t="s">
        <v>118</v>
      </c>
      <c r="E216" s="34" t="s">
        <v>276</v>
      </c>
      <c r="F216" s="35" t="s">
        <v>43</v>
      </c>
      <c r="G216" s="34" t="s">
        <v>43</v>
      </c>
      <c r="H216" s="34" t="s">
        <v>43</v>
      </c>
      <c r="I216" s="35" t="n">
        <v>6.0</v>
      </c>
      <c r="J216" s="35"/>
      <c r="K216" s="37" t="n">
        <v>2.0</v>
      </c>
    </row>
    <row r="217">
      <c r="A217" s="35" t="s">
        <v>43</v>
      </c>
      <c r="B217" s="34" t="s">
        <v>43</v>
      </c>
      <c r="C217" s="35" t="s">
        <v>43</v>
      </c>
      <c r="D217" s="35" t="s">
        <v>43</v>
      </c>
      <c r="E217" s="34" t="s">
        <v>43</v>
      </c>
      <c r="F217" s="35" t="n">
        <v>0.0</v>
      </c>
      <c r="G217" s="34" t="s">
        <v>277</v>
      </c>
      <c r="H217" s="34" t="s">
        <v>43</v>
      </c>
      <c r="I217" s="35"/>
      <c r="J217" s="35"/>
      <c r="K217" s="37"/>
    </row>
    <row r="218">
      <c r="A218" s="35" t="s">
        <v>43</v>
      </c>
      <c r="B218" s="34" t="s">
        <v>43</v>
      </c>
      <c r="C218" s="35" t="s">
        <v>43</v>
      </c>
      <c r="D218" s="35" t="s">
        <v>43</v>
      </c>
      <c r="E218" s="34" t="s">
        <v>43</v>
      </c>
      <c r="F218" s="35" t="n">
        <v>1.0</v>
      </c>
      <c r="G218" s="34" t="s">
        <v>278</v>
      </c>
      <c r="H218" s="34" t="s">
        <v>43</v>
      </c>
      <c r="I218" s="35"/>
      <c r="J218" s="35"/>
      <c r="K218" s="37"/>
    </row>
    <row r="219">
      <c r="A219" s="35" t="s">
        <v>43</v>
      </c>
      <c r="B219" s="34" t="s">
        <v>43</v>
      </c>
      <c r="C219" s="35" t="s">
        <v>43</v>
      </c>
      <c r="D219" s="35" t="s">
        <v>43</v>
      </c>
      <c r="E219" s="34" t="s">
        <v>43</v>
      </c>
      <c r="F219" s="35" t="n">
        <v>2.0</v>
      </c>
      <c r="G219" s="34" t="s">
        <v>279</v>
      </c>
      <c r="H219" s="34" t="s">
        <v>43</v>
      </c>
      <c r="I219" s="35"/>
      <c r="J219" s="35"/>
      <c r="K219" s="37"/>
    </row>
    <row r="220">
      <c r="A220" s="35" t="s">
        <v>43</v>
      </c>
      <c r="B220" s="34" t="s">
        <v>43</v>
      </c>
      <c r="C220" s="35" t="s">
        <v>43</v>
      </c>
      <c r="D220" s="35" t="s">
        <v>43</v>
      </c>
      <c r="E220" s="34" t="s">
        <v>43</v>
      </c>
      <c r="F220" s="35" t="n">
        <v>3.0</v>
      </c>
      <c r="G220" s="34" t="s">
        <v>280</v>
      </c>
      <c r="H220" s="34" t="s">
        <v>43</v>
      </c>
      <c r="I220" s="35"/>
      <c r="J220" s="35"/>
      <c r="K220" s="37"/>
    </row>
    <row r="221">
      <c r="A221" s="35" t="s">
        <v>43</v>
      </c>
      <c r="B221" s="34" t="s">
        <v>43</v>
      </c>
      <c r="C221" s="35" t="s">
        <v>43</v>
      </c>
      <c r="D221" s="35" t="s">
        <v>118</v>
      </c>
      <c r="E221" s="34" t="s">
        <v>281</v>
      </c>
      <c r="F221" s="35" t="s">
        <v>43</v>
      </c>
      <c r="G221" s="34" t="s">
        <v>43</v>
      </c>
      <c r="H221" s="34" t="s">
        <v>43</v>
      </c>
      <c r="I221" s="35" t="n">
        <v>6.0</v>
      </c>
      <c r="J221" s="35"/>
      <c r="K221" s="37" t="n">
        <v>2.0</v>
      </c>
    </row>
    <row r="222">
      <c r="A222" s="35" t="s">
        <v>43</v>
      </c>
      <c r="B222" s="34" t="s">
        <v>43</v>
      </c>
      <c r="C222" s="35" t="s">
        <v>43</v>
      </c>
      <c r="D222" s="35" t="s">
        <v>43</v>
      </c>
      <c r="E222" s="34" t="s">
        <v>43</v>
      </c>
      <c r="F222" s="35" t="n">
        <v>0.0</v>
      </c>
      <c r="G222" s="34" t="s">
        <v>282</v>
      </c>
      <c r="H222" s="34" t="s">
        <v>43</v>
      </c>
      <c r="I222" s="35"/>
      <c r="J222" s="35"/>
      <c r="K222" s="37"/>
    </row>
    <row r="223">
      <c r="A223" s="35" t="s">
        <v>43</v>
      </c>
      <c r="B223" s="34" t="s">
        <v>43</v>
      </c>
      <c r="C223" s="35" t="s">
        <v>43</v>
      </c>
      <c r="D223" s="35" t="s">
        <v>43</v>
      </c>
      <c r="E223" s="34" t="s">
        <v>43</v>
      </c>
      <c r="F223" s="35" t="n">
        <v>1.0</v>
      </c>
      <c r="G223" s="34" t="s">
        <v>283</v>
      </c>
      <c r="H223" s="34" t="s">
        <v>43</v>
      </c>
      <c r="I223" s="35"/>
      <c r="J223" s="35"/>
      <c r="K223" s="37"/>
    </row>
    <row r="224">
      <c r="A224" s="35" t="s">
        <v>43</v>
      </c>
      <c r="B224" s="34" t="s">
        <v>43</v>
      </c>
      <c r="C224" s="35" t="s">
        <v>43</v>
      </c>
      <c r="D224" s="35" t="s">
        <v>43</v>
      </c>
      <c r="E224" s="34" t="s">
        <v>43</v>
      </c>
      <c r="F224" s="35" t="n">
        <v>2.0</v>
      </c>
      <c r="G224" s="34" t="s">
        <v>284</v>
      </c>
      <c r="H224" s="34" t="s">
        <v>43</v>
      </c>
      <c r="I224" s="35"/>
      <c r="J224" s="35"/>
      <c r="K224" s="37"/>
    </row>
    <row r="225">
      <c r="A225" s="35" t="s">
        <v>43</v>
      </c>
      <c r="B225" s="34" t="s">
        <v>43</v>
      </c>
      <c r="C225" s="35" t="s">
        <v>43</v>
      </c>
      <c r="D225" s="35" t="s">
        <v>43</v>
      </c>
      <c r="E225" s="34" t="s">
        <v>43</v>
      </c>
      <c r="F225" s="35" t="n">
        <v>3.0</v>
      </c>
      <c r="G225" s="34" t="s">
        <v>285</v>
      </c>
      <c r="H225" s="34" t="s">
        <v>43</v>
      </c>
      <c r="I225" s="35"/>
      <c r="J225" s="35"/>
      <c r="K225" s="37"/>
    </row>
    <row r="226">
      <c r="A226" s="35" t="s">
        <v>43</v>
      </c>
      <c r="B226" s="34" t="s">
        <v>43</v>
      </c>
      <c r="C226" s="35" t="s">
        <v>43</v>
      </c>
      <c r="D226" s="35" t="s">
        <v>118</v>
      </c>
      <c r="E226" s="34" t="s">
        <v>286</v>
      </c>
      <c r="F226" s="35" t="s">
        <v>43</v>
      </c>
      <c r="G226" s="34" t="s">
        <v>43</v>
      </c>
      <c r="H226" s="34" t="s">
        <v>43</v>
      </c>
      <c r="I226" s="35" t="n">
        <v>6.0</v>
      </c>
      <c r="J226" s="35"/>
      <c r="K226" s="37" t="n">
        <v>2.0</v>
      </c>
    </row>
    <row r="227">
      <c r="A227" s="35" t="s">
        <v>43</v>
      </c>
      <c r="B227" s="34" t="s">
        <v>43</v>
      </c>
      <c r="C227" s="35" t="s">
        <v>43</v>
      </c>
      <c r="D227" s="35" t="s">
        <v>43</v>
      </c>
      <c r="E227" s="34" t="s">
        <v>43</v>
      </c>
      <c r="F227" s="35" t="n">
        <v>0.0</v>
      </c>
      <c r="G227" s="34" t="s">
        <v>287</v>
      </c>
      <c r="H227" s="34" t="s">
        <v>43</v>
      </c>
      <c r="I227" s="35"/>
      <c r="J227" s="35"/>
      <c r="K227" s="37"/>
    </row>
    <row r="228">
      <c r="A228" s="35" t="s">
        <v>43</v>
      </c>
      <c r="B228" s="34" t="s">
        <v>43</v>
      </c>
      <c r="C228" s="35" t="s">
        <v>43</v>
      </c>
      <c r="D228" s="35" t="s">
        <v>43</v>
      </c>
      <c r="E228" s="34" t="s">
        <v>43</v>
      </c>
      <c r="F228" s="35" t="n">
        <v>1.0</v>
      </c>
      <c r="G228" s="34" t="s">
        <v>288</v>
      </c>
      <c r="H228" s="34" t="s">
        <v>43</v>
      </c>
      <c r="I228" s="35"/>
      <c r="J228" s="35"/>
      <c r="K228" s="37"/>
    </row>
    <row r="229">
      <c r="A229" s="35" t="s">
        <v>43</v>
      </c>
      <c r="B229" s="34" t="s">
        <v>43</v>
      </c>
      <c r="C229" s="35" t="s">
        <v>43</v>
      </c>
      <c r="D229" s="35" t="s">
        <v>43</v>
      </c>
      <c r="E229" s="34" t="s">
        <v>43</v>
      </c>
      <c r="F229" s="35" t="n">
        <v>2.0</v>
      </c>
      <c r="G229" s="34" t="s">
        <v>289</v>
      </c>
      <c r="H229" s="34" t="s">
        <v>43</v>
      </c>
      <c r="I229" s="35"/>
      <c r="J229" s="35"/>
      <c r="K229" s="37"/>
    </row>
    <row r="230">
      <c r="A230" s="35" t="s">
        <v>43</v>
      </c>
      <c r="B230" s="34" t="s">
        <v>43</v>
      </c>
      <c r="C230" s="35" t="s">
        <v>43</v>
      </c>
      <c r="D230" s="35" t="s">
        <v>43</v>
      </c>
      <c r="E230" s="34" t="s">
        <v>43</v>
      </c>
      <c r="F230" s="35" t="n">
        <v>3.0</v>
      </c>
      <c r="G230" s="34" t="s">
        <v>290</v>
      </c>
      <c r="H230" s="34" t="s">
        <v>43</v>
      </c>
      <c r="I230" s="35"/>
      <c r="J230" s="35"/>
      <c r="K230" s="37"/>
    </row>
    <row r="231">
      <c r="A231" s="35" t="s">
        <v>43</v>
      </c>
      <c r="B231" s="34" t="s">
        <v>43</v>
      </c>
      <c r="C231" s="35" t="s">
        <v>43</v>
      </c>
      <c r="D231" s="35" t="s">
        <v>118</v>
      </c>
      <c r="E231" s="34" t="s">
        <v>291</v>
      </c>
      <c r="F231" s="35" t="s">
        <v>43</v>
      </c>
      <c r="G231" s="34" t="s">
        <v>43</v>
      </c>
      <c r="H231" s="34" t="s">
        <v>43</v>
      </c>
      <c r="I231" s="35" t="n">
        <v>6.0</v>
      </c>
      <c r="J231" s="35"/>
      <c r="K231" s="37" t="n">
        <v>2.0</v>
      </c>
    </row>
    <row r="232">
      <c r="A232" s="35" t="s">
        <v>43</v>
      </c>
      <c r="B232" s="34" t="s">
        <v>43</v>
      </c>
      <c r="C232" s="35" t="s">
        <v>43</v>
      </c>
      <c r="D232" s="35" t="s">
        <v>43</v>
      </c>
      <c r="E232" s="34" t="s">
        <v>43</v>
      </c>
      <c r="F232" s="35" t="n">
        <v>0.0</v>
      </c>
      <c r="G232" s="34" t="s">
        <v>292</v>
      </c>
      <c r="H232" s="34" t="s">
        <v>43</v>
      </c>
      <c r="I232" s="35"/>
      <c r="J232" s="35"/>
      <c r="K232" s="37"/>
    </row>
    <row r="233">
      <c r="A233" s="35" t="s">
        <v>43</v>
      </c>
      <c r="B233" s="34" t="s">
        <v>43</v>
      </c>
      <c r="C233" s="35" t="s">
        <v>43</v>
      </c>
      <c r="D233" s="35" t="s">
        <v>43</v>
      </c>
      <c r="E233" s="34" t="s">
        <v>43</v>
      </c>
      <c r="F233" s="35" t="n">
        <v>1.0</v>
      </c>
      <c r="G233" s="34" t="s">
        <v>293</v>
      </c>
      <c r="H233" s="34" t="s">
        <v>43</v>
      </c>
      <c r="I233" s="35"/>
      <c r="J233" s="35"/>
      <c r="K233" s="37"/>
    </row>
    <row r="234">
      <c r="A234" s="35" t="s">
        <v>43</v>
      </c>
      <c r="B234" s="34" t="s">
        <v>43</v>
      </c>
      <c r="C234" s="35" t="s">
        <v>43</v>
      </c>
      <c r="D234" s="35" t="s">
        <v>43</v>
      </c>
      <c r="E234" s="34" t="s">
        <v>43</v>
      </c>
      <c r="F234" s="35" t="n">
        <v>2.0</v>
      </c>
      <c r="G234" s="34" t="s">
        <v>294</v>
      </c>
      <c r="H234" s="34" t="s">
        <v>43</v>
      </c>
      <c r="I234" s="35"/>
      <c r="J234" s="35"/>
      <c r="K234" s="37"/>
    </row>
    <row r="235">
      <c r="A235" s="35" t="s">
        <v>43</v>
      </c>
      <c r="B235" s="34" t="s">
        <v>43</v>
      </c>
      <c r="C235" s="35" t="s">
        <v>43</v>
      </c>
      <c r="D235" s="35" t="s">
        <v>43</v>
      </c>
      <c r="E235" s="34" t="s">
        <v>43</v>
      </c>
      <c r="F235" s="35" t="n">
        <v>3.0</v>
      </c>
      <c r="G235" s="34" t="s">
        <v>295</v>
      </c>
      <c r="H235" s="34" t="s">
        <v>43</v>
      </c>
      <c r="I235" s="35"/>
      <c r="J235" s="35"/>
      <c r="K235" s="37"/>
    </row>
    <row r="236">
      <c r="A236" s="35" t="s">
        <v>43</v>
      </c>
      <c r="B236" s="34" t="s">
        <v>43</v>
      </c>
      <c r="C236" s="35" t="s">
        <v>43</v>
      </c>
      <c r="D236" s="35" t="s">
        <v>118</v>
      </c>
      <c r="E236" s="34" t="s">
        <v>296</v>
      </c>
      <c r="F236" s="35" t="s">
        <v>43</v>
      </c>
      <c r="G236" s="34" t="s">
        <v>43</v>
      </c>
      <c r="H236" s="34" t="s">
        <v>43</v>
      </c>
      <c r="I236" s="35" t="n">
        <v>6.0</v>
      </c>
      <c r="J236" s="35"/>
      <c r="K236" s="37" t="n">
        <v>2.0</v>
      </c>
    </row>
    <row r="237">
      <c r="A237" s="35" t="s">
        <v>43</v>
      </c>
      <c r="B237" s="34" t="s">
        <v>43</v>
      </c>
      <c r="C237" s="35" t="s">
        <v>43</v>
      </c>
      <c r="D237" s="35" t="s">
        <v>43</v>
      </c>
      <c r="E237" s="34" t="s">
        <v>43</v>
      </c>
      <c r="F237" s="35" t="n">
        <v>0.0</v>
      </c>
      <c r="G237" s="34" t="s">
        <v>297</v>
      </c>
      <c r="H237" s="34" t="s">
        <v>43</v>
      </c>
      <c r="I237" s="35"/>
      <c r="J237" s="35"/>
      <c r="K237" s="37"/>
    </row>
    <row r="238">
      <c r="A238" s="35" t="s">
        <v>43</v>
      </c>
      <c r="B238" s="34" t="s">
        <v>43</v>
      </c>
      <c r="C238" s="35" t="s">
        <v>43</v>
      </c>
      <c r="D238" s="35" t="s">
        <v>43</v>
      </c>
      <c r="E238" s="34" t="s">
        <v>43</v>
      </c>
      <c r="F238" s="35" t="n">
        <v>1.0</v>
      </c>
      <c r="G238" s="34" t="s">
        <v>298</v>
      </c>
      <c r="H238" s="34" t="s">
        <v>43</v>
      </c>
      <c r="I238" s="35"/>
      <c r="J238" s="35"/>
      <c r="K238" s="37"/>
    </row>
    <row r="239">
      <c r="A239" s="35" t="s">
        <v>43</v>
      </c>
      <c r="B239" s="34" t="s">
        <v>43</v>
      </c>
      <c r="C239" s="35" t="s">
        <v>43</v>
      </c>
      <c r="D239" s="35" t="s">
        <v>43</v>
      </c>
      <c r="E239" s="34" t="s">
        <v>43</v>
      </c>
      <c r="F239" s="35" t="n">
        <v>2.0</v>
      </c>
      <c r="G239" s="34" t="s">
        <v>299</v>
      </c>
      <c r="H239" s="34" t="s">
        <v>43</v>
      </c>
      <c r="I239" s="35"/>
      <c r="J239" s="35"/>
      <c r="K239" s="37"/>
    </row>
    <row r="240">
      <c r="A240" s="35" t="s">
        <v>43</v>
      </c>
      <c r="B240" s="34" t="s">
        <v>43</v>
      </c>
      <c r="C240" s="35" t="s">
        <v>43</v>
      </c>
      <c r="D240" s="35" t="s">
        <v>43</v>
      </c>
      <c r="E240" s="34" t="s">
        <v>43</v>
      </c>
      <c r="F240" s="35" t="n">
        <v>3.0</v>
      </c>
      <c r="G240" s="34" t="s">
        <v>300</v>
      </c>
      <c r="H240" s="34" t="s">
        <v>43</v>
      </c>
      <c r="I240" s="35"/>
      <c r="J240" s="35"/>
      <c r="K240" s="37"/>
    </row>
    <row r="241">
      <c r="A241" s="35" t="s">
        <v>43</v>
      </c>
      <c r="B241" s="34" t="s">
        <v>43</v>
      </c>
      <c r="C241" s="35" t="s">
        <v>43</v>
      </c>
      <c r="D241" s="35" t="s">
        <v>118</v>
      </c>
      <c r="E241" s="34" t="s">
        <v>301</v>
      </c>
      <c r="F241" s="35" t="s">
        <v>43</v>
      </c>
      <c r="G241" s="34" t="s">
        <v>43</v>
      </c>
      <c r="H241" s="34" t="s">
        <v>43</v>
      </c>
      <c r="I241" s="35" t="n">
        <v>6.0</v>
      </c>
      <c r="J241" s="35"/>
      <c r="K241" s="37" t="n">
        <v>2.0</v>
      </c>
    </row>
    <row r="242">
      <c r="A242" s="35" t="s">
        <v>43</v>
      </c>
      <c r="B242" s="34" t="s">
        <v>43</v>
      </c>
      <c r="C242" s="35" t="s">
        <v>43</v>
      </c>
      <c r="D242" s="35" t="s">
        <v>43</v>
      </c>
      <c r="E242" s="34" t="s">
        <v>43</v>
      </c>
      <c r="F242" s="35" t="n">
        <v>0.0</v>
      </c>
      <c r="G242" s="34" t="s">
        <v>302</v>
      </c>
      <c r="H242" s="34" t="s">
        <v>43</v>
      </c>
      <c r="I242" s="35"/>
      <c r="J242" s="35"/>
      <c r="K242" s="37"/>
    </row>
    <row r="243">
      <c r="A243" s="35" t="s">
        <v>43</v>
      </c>
      <c r="B243" s="34" t="s">
        <v>43</v>
      </c>
      <c r="C243" s="35" t="s">
        <v>43</v>
      </c>
      <c r="D243" s="35" t="s">
        <v>43</v>
      </c>
      <c r="E243" s="34" t="s">
        <v>43</v>
      </c>
      <c r="F243" s="35" t="n">
        <v>1.0</v>
      </c>
      <c r="G243" s="34" t="s">
        <v>303</v>
      </c>
      <c r="H243" s="34" t="s">
        <v>43</v>
      </c>
      <c r="I243" s="35"/>
      <c r="J243" s="35"/>
      <c r="K243" s="37"/>
    </row>
    <row r="244">
      <c r="A244" s="35" t="s">
        <v>43</v>
      </c>
      <c r="B244" s="34" t="s">
        <v>43</v>
      </c>
      <c r="C244" s="35" t="s">
        <v>43</v>
      </c>
      <c r="D244" s="35" t="s">
        <v>43</v>
      </c>
      <c r="E244" s="34" t="s">
        <v>43</v>
      </c>
      <c r="F244" s="35" t="n">
        <v>2.0</v>
      </c>
      <c r="G244" s="34" t="s">
        <v>304</v>
      </c>
      <c r="H244" s="34" t="s">
        <v>43</v>
      </c>
      <c r="I244" s="35"/>
      <c r="J244" s="35"/>
      <c r="K244" s="37"/>
    </row>
    <row r="245">
      <c r="A245" s="35" t="s">
        <v>43</v>
      </c>
      <c r="B245" s="34" t="s">
        <v>43</v>
      </c>
      <c r="C245" s="35" t="s">
        <v>43</v>
      </c>
      <c r="D245" s="35" t="s">
        <v>43</v>
      </c>
      <c r="E245" s="34" t="s">
        <v>43</v>
      </c>
      <c r="F245" s="35" t="n">
        <v>3.0</v>
      </c>
      <c r="G245" s="34" t="s">
        <v>305</v>
      </c>
      <c r="H245" s="34" t="s">
        <v>43</v>
      </c>
      <c r="I245" s="35"/>
      <c r="J245" s="35"/>
      <c r="K245" s="37"/>
    </row>
    <row r="246">
      <c r="A246" s="35" t="s">
        <v>43</v>
      </c>
      <c r="B246" s="34" t="s">
        <v>43</v>
      </c>
      <c r="C246" s="35" t="s">
        <v>43</v>
      </c>
      <c r="D246" s="35" t="s">
        <v>43</v>
      </c>
      <c r="E246" s="34" t="s">
        <v>43</v>
      </c>
      <c r="F246" s="35" t="s">
        <v>43</v>
      </c>
      <c r="G246" s="34" t="s">
        <v>43</v>
      </c>
      <c r="H246" s="34" t="s">
        <v>43</v>
      </c>
      <c r="I246" s="35"/>
      <c r="J246" s="35"/>
      <c r="K246" s="37"/>
    </row>
    <row r="247">
      <c r="A247" s="35" t="s">
        <v>43</v>
      </c>
      <c r="B247" s="34" t="s">
        <v>43</v>
      </c>
      <c r="C247" s="35" t="s">
        <v>43</v>
      </c>
      <c r="D247" s="35" t="s">
        <v>43</v>
      </c>
      <c r="E247" s="34" t="s">
        <v>43</v>
      </c>
      <c r="F247" s="35" t="s">
        <v>43</v>
      </c>
      <c r="G247" s="34" t="s">
        <v>43</v>
      </c>
      <c r="H247" s="34" t="s">
        <v>43</v>
      </c>
      <c r="I247" s="35"/>
      <c r="J247" s="35"/>
      <c r="K247" s="37"/>
    </row>
    <row r="248">
      <c r="A248" s="114" t="s">
        <v>15</v>
      </c>
      <c r="B248" s="115" t="s">
        <v>16</v>
      </c>
      <c r="C248" s="116" t="s">
        <v>10</v>
      </c>
      <c r="D248" s="117" t="s">
        <v>6</v>
      </c>
      <c r="E248" s="118" t="s">
        <v>1</v>
      </c>
      <c r="F248" s="119" t="s">
        <v>2</v>
      </c>
      <c r="G248" s="120" t="s">
        <v>8</v>
      </c>
      <c r="H248" s="121" t="s">
        <v>9</v>
      </c>
      <c r="I248" s="122" t="s">
        <v>23</v>
      </c>
      <c r="J248" s="123" t="s">
        <v>11</v>
      </c>
      <c r="K248" s="124" t="s">
        <v>3</v>
      </c>
      <c r="L248" s="125" t="s">
        <v>306</v>
      </c>
      <c r="M248" s="126" t="s">
        <v>4</v>
      </c>
      <c r="N248" s="127">
        <f>SUM(K249:K279)</f>
      </c>
    </row>
    <row r="249">
      <c r="A249" s="35" t="s">
        <v>307</v>
      </c>
      <c r="B249" s="34" t="s">
        <v>308</v>
      </c>
      <c r="C249" s="35" t="s">
        <v>69</v>
      </c>
      <c r="D249" s="34" t="s">
        <v>43</v>
      </c>
      <c r="E249" s="34" t="s">
        <v>43</v>
      </c>
      <c r="F249" s="34" t="s">
        <v>43</v>
      </c>
      <c r="G249" s="34" t="s">
        <v>43</v>
      </c>
      <c r="H249" s="34" t="s">
        <v>43</v>
      </c>
      <c r="I249" s="34" t="s">
        <v>43</v>
      </c>
      <c r="J249" s="34" t="s">
        <v>43</v>
      </c>
      <c r="K249" s="34" t="s">
        <v>43</v>
      </c>
    </row>
    <row r="250">
      <c r="A250" s="35" t="s">
        <v>43</v>
      </c>
      <c r="B250" s="34" t="s">
        <v>43</v>
      </c>
      <c r="C250" s="35" t="s">
        <v>43</v>
      </c>
      <c r="D250" s="35" t="s">
        <v>45</v>
      </c>
      <c r="E250" s="34" t="s">
        <v>309</v>
      </c>
      <c r="F250" s="35" t="s">
        <v>43</v>
      </c>
      <c r="G250" s="34" t="s">
        <v>310</v>
      </c>
      <c r="H250" s="34" t="s">
        <v>43</v>
      </c>
      <c r="I250" s="35" t="n">
        <v>7.0</v>
      </c>
      <c r="J250" s="35"/>
      <c r="K250" s="37" t="n">
        <v>1.0</v>
      </c>
    </row>
    <row r="251">
      <c r="A251" s="35" t="s">
        <v>43</v>
      </c>
      <c r="B251" s="34" t="s">
        <v>43</v>
      </c>
      <c r="C251" s="35" t="s">
        <v>43</v>
      </c>
      <c r="D251" s="35" t="s">
        <v>45</v>
      </c>
      <c r="E251" s="34" t="s">
        <v>311</v>
      </c>
      <c r="F251" s="35" t="s">
        <v>43</v>
      </c>
      <c r="G251" s="34" t="s">
        <v>312</v>
      </c>
      <c r="H251" s="34" t="s">
        <v>43</v>
      </c>
      <c r="I251" s="35" t="n">
        <v>7.0</v>
      </c>
      <c r="J251" s="35"/>
      <c r="K251" s="37" t="n">
        <v>1.0</v>
      </c>
    </row>
    <row r="252">
      <c r="A252" s="35" t="s">
        <v>43</v>
      </c>
      <c r="B252" s="34" t="s">
        <v>43</v>
      </c>
      <c r="C252" s="35" t="s">
        <v>43</v>
      </c>
      <c r="D252" s="35" t="s">
        <v>118</v>
      </c>
      <c r="E252" s="34" t="s">
        <v>313</v>
      </c>
      <c r="F252" s="35" t="s">
        <v>43</v>
      </c>
      <c r="G252" s="34" t="s">
        <v>43</v>
      </c>
      <c r="H252" s="34" t="s">
        <v>43</v>
      </c>
      <c r="I252" s="35" t="n">
        <v>7.0</v>
      </c>
      <c r="J252" s="35"/>
      <c r="K252" s="37" t="n">
        <v>2.0</v>
      </c>
    </row>
    <row r="253">
      <c r="A253" s="35" t="s">
        <v>43</v>
      </c>
      <c r="B253" s="34" t="s">
        <v>43</v>
      </c>
      <c r="C253" s="35" t="s">
        <v>43</v>
      </c>
      <c r="D253" s="35" t="s">
        <v>43</v>
      </c>
      <c r="E253" s="34" t="s">
        <v>43</v>
      </c>
      <c r="F253" s="35" t="n">
        <v>0.0</v>
      </c>
      <c r="G253" s="34" t="s">
        <v>314</v>
      </c>
      <c r="H253" s="34" t="s">
        <v>43</v>
      </c>
      <c r="I253" s="35"/>
      <c r="J253" s="35"/>
      <c r="K253" s="37"/>
    </row>
    <row r="254">
      <c r="A254" s="35" t="s">
        <v>43</v>
      </c>
      <c r="B254" s="34" t="s">
        <v>43</v>
      </c>
      <c r="C254" s="35" t="s">
        <v>43</v>
      </c>
      <c r="D254" s="35" t="s">
        <v>43</v>
      </c>
      <c r="E254" s="34" t="s">
        <v>43</v>
      </c>
      <c r="F254" s="35" t="n">
        <v>1.0</v>
      </c>
      <c r="G254" s="34" t="s">
        <v>315</v>
      </c>
      <c r="H254" s="34" t="s">
        <v>43</v>
      </c>
      <c r="I254" s="35"/>
      <c r="J254" s="35"/>
      <c r="K254" s="37"/>
    </row>
    <row r="255">
      <c r="A255" s="35" t="s">
        <v>43</v>
      </c>
      <c r="B255" s="34" t="s">
        <v>43</v>
      </c>
      <c r="C255" s="35" t="s">
        <v>43</v>
      </c>
      <c r="D255" s="35" t="s">
        <v>43</v>
      </c>
      <c r="E255" s="34" t="s">
        <v>43</v>
      </c>
      <c r="F255" s="35" t="n">
        <v>2.0</v>
      </c>
      <c r="G255" s="34" t="s">
        <v>316</v>
      </c>
      <c r="H255" s="34" t="s">
        <v>43</v>
      </c>
      <c r="I255" s="35"/>
      <c r="J255" s="35"/>
      <c r="K255" s="37"/>
    </row>
    <row r="256">
      <c r="A256" s="35" t="s">
        <v>43</v>
      </c>
      <c r="B256" s="34" t="s">
        <v>43</v>
      </c>
      <c r="C256" s="35" t="s">
        <v>43</v>
      </c>
      <c r="D256" s="35" t="s">
        <v>43</v>
      </c>
      <c r="E256" s="34" t="s">
        <v>43</v>
      </c>
      <c r="F256" s="35" t="n">
        <v>3.0</v>
      </c>
      <c r="G256" s="34" t="s">
        <v>317</v>
      </c>
      <c r="H256" s="34" t="s">
        <v>43</v>
      </c>
      <c r="I256" s="35"/>
      <c r="J256" s="35"/>
      <c r="K256" s="37"/>
    </row>
    <row r="257">
      <c r="A257" s="35" t="s">
        <v>43</v>
      </c>
      <c r="B257" s="34" t="s">
        <v>43</v>
      </c>
      <c r="C257" s="35" t="s">
        <v>43</v>
      </c>
      <c r="D257" s="35" t="s">
        <v>118</v>
      </c>
      <c r="E257" s="34" t="s">
        <v>318</v>
      </c>
      <c r="F257" s="35" t="s">
        <v>43</v>
      </c>
      <c r="G257" s="34" t="s">
        <v>43</v>
      </c>
      <c r="H257" s="34" t="s">
        <v>43</v>
      </c>
      <c r="I257" s="35" t="n">
        <v>7.0</v>
      </c>
      <c r="J257" s="35"/>
      <c r="K257" s="37" t="n">
        <v>2.0</v>
      </c>
    </row>
    <row r="258">
      <c r="A258" s="35" t="s">
        <v>43</v>
      </c>
      <c r="B258" s="34" t="s">
        <v>43</v>
      </c>
      <c r="C258" s="35" t="s">
        <v>43</v>
      </c>
      <c r="D258" s="35" t="s">
        <v>43</v>
      </c>
      <c r="E258" s="34" t="s">
        <v>43</v>
      </c>
      <c r="F258" s="35" t="n">
        <v>0.0</v>
      </c>
      <c r="G258" s="34" t="s">
        <v>319</v>
      </c>
      <c r="H258" s="34" t="s">
        <v>43</v>
      </c>
      <c r="I258" s="35"/>
      <c r="J258" s="35"/>
      <c r="K258" s="37"/>
    </row>
    <row r="259">
      <c r="A259" s="35" t="s">
        <v>43</v>
      </c>
      <c r="B259" s="34" t="s">
        <v>43</v>
      </c>
      <c r="C259" s="35" t="s">
        <v>43</v>
      </c>
      <c r="D259" s="35" t="s">
        <v>43</v>
      </c>
      <c r="E259" s="34" t="s">
        <v>43</v>
      </c>
      <c r="F259" s="35" t="n">
        <v>1.0</v>
      </c>
      <c r="G259" s="34" t="s">
        <v>320</v>
      </c>
      <c r="H259" s="34" t="s">
        <v>43</v>
      </c>
      <c r="I259" s="35"/>
      <c r="J259" s="35"/>
      <c r="K259" s="37"/>
    </row>
    <row r="260">
      <c r="A260" s="35" t="s">
        <v>43</v>
      </c>
      <c r="B260" s="34" t="s">
        <v>43</v>
      </c>
      <c r="C260" s="35" t="s">
        <v>43</v>
      </c>
      <c r="D260" s="35" t="s">
        <v>43</v>
      </c>
      <c r="E260" s="34" t="s">
        <v>43</v>
      </c>
      <c r="F260" s="35" t="n">
        <v>2.0</v>
      </c>
      <c r="G260" s="34" t="s">
        <v>321</v>
      </c>
      <c r="H260" s="34" t="s">
        <v>43</v>
      </c>
      <c r="I260" s="35"/>
      <c r="J260" s="35"/>
      <c r="K260" s="37"/>
    </row>
    <row r="261">
      <c r="A261" s="35" t="s">
        <v>43</v>
      </c>
      <c r="B261" s="34" t="s">
        <v>43</v>
      </c>
      <c r="C261" s="35" t="s">
        <v>43</v>
      </c>
      <c r="D261" s="35" t="s">
        <v>43</v>
      </c>
      <c r="E261" s="34" t="s">
        <v>43</v>
      </c>
      <c r="F261" s="35" t="n">
        <v>3.0</v>
      </c>
      <c r="G261" s="34" t="s">
        <v>322</v>
      </c>
      <c r="H261" s="34" t="s">
        <v>43</v>
      </c>
      <c r="I261" s="35"/>
      <c r="J261" s="35"/>
      <c r="K261" s="37"/>
    </row>
    <row r="262">
      <c r="A262" s="35" t="s">
        <v>323</v>
      </c>
      <c r="B262" s="34" t="s">
        <v>324</v>
      </c>
      <c r="C262" s="35" t="s">
        <v>69</v>
      </c>
      <c r="D262" s="34" t="s">
        <v>43</v>
      </c>
      <c r="E262" s="34" t="s">
        <v>43</v>
      </c>
      <c r="F262" s="34" t="s">
        <v>43</v>
      </c>
      <c r="G262" s="34" t="s">
        <v>43</v>
      </c>
      <c r="H262" s="34" t="s">
        <v>43</v>
      </c>
      <c r="I262" s="34" t="s">
        <v>43</v>
      </c>
      <c r="J262" s="34" t="s">
        <v>43</v>
      </c>
      <c r="K262" s="34" t="s">
        <v>43</v>
      </c>
    </row>
    <row r="263">
      <c r="A263" s="35" t="s">
        <v>43</v>
      </c>
      <c r="B263" s="34" t="s">
        <v>43</v>
      </c>
      <c r="C263" s="35" t="s">
        <v>43</v>
      </c>
      <c r="D263" s="35" t="s">
        <v>45</v>
      </c>
      <c r="E263" s="34" t="s">
        <v>325</v>
      </c>
      <c r="F263" s="35" t="s">
        <v>43</v>
      </c>
      <c r="G263" s="34" t="s">
        <v>326</v>
      </c>
      <c r="H263" s="34" t="s">
        <v>43</v>
      </c>
      <c r="I263" s="35" t="n">
        <v>7.0</v>
      </c>
      <c r="J263" s="35"/>
      <c r="K263" s="37" t="n">
        <v>1.0</v>
      </c>
    </row>
    <row r="264">
      <c r="A264" s="35" t="s">
        <v>43</v>
      </c>
      <c r="B264" s="34" t="s">
        <v>43</v>
      </c>
      <c r="C264" s="35" t="s">
        <v>43</v>
      </c>
      <c r="D264" s="35" t="s">
        <v>45</v>
      </c>
      <c r="E264" s="34" t="s">
        <v>327</v>
      </c>
      <c r="F264" s="35" t="s">
        <v>43</v>
      </c>
      <c r="G264" s="34" t="s">
        <v>328</v>
      </c>
      <c r="H264" s="34" t="s">
        <v>43</v>
      </c>
      <c r="I264" s="35" t="n">
        <v>7.0</v>
      </c>
      <c r="J264" s="35"/>
      <c r="K264" s="37" t="n">
        <v>1.0</v>
      </c>
    </row>
    <row r="265">
      <c r="A265" s="35" t="s">
        <v>43</v>
      </c>
      <c r="B265" s="34" t="s">
        <v>43</v>
      </c>
      <c r="C265" s="35" t="s">
        <v>43</v>
      </c>
      <c r="D265" s="35" t="s">
        <v>45</v>
      </c>
      <c r="E265" s="34" t="s">
        <v>329</v>
      </c>
      <c r="F265" s="35" t="s">
        <v>43</v>
      </c>
      <c r="G265" s="34" t="s">
        <v>330</v>
      </c>
      <c r="H265" s="34" t="s">
        <v>43</v>
      </c>
      <c r="I265" s="35" t="n">
        <v>7.0</v>
      </c>
      <c r="J265" s="35"/>
      <c r="K265" s="37" t="n">
        <v>0.5</v>
      </c>
    </row>
    <row r="266">
      <c r="A266" s="35" t="s">
        <v>43</v>
      </c>
      <c r="B266" s="34" t="s">
        <v>43</v>
      </c>
      <c r="C266" s="35" t="s">
        <v>43</v>
      </c>
      <c r="D266" s="35" t="s">
        <v>45</v>
      </c>
      <c r="E266" s="34" t="s">
        <v>331</v>
      </c>
      <c r="F266" s="35" t="s">
        <v>43</v>
      </c>
      <c r="G266" s="34" t="s">
        <v>330</v>
      </c>
      <c r="H266" s="34" t="s">
        <v>43</v>
      </c>
      <c r="I266" s="35" t="n">
        <v>7.0</v>
      </c>
      <c r="J266" s="35"/>
      <c r="K266" s="37" t="n">
        <v>0.5</v>
      </c>
    </row>
    <row r="267">
      <c r="A267" s="35" t="s">
        <v>43</v>
      </c>
      <c r="B267" s="34" t="s">
        <v>43</v>
      </c>
      <c r="C267" s="35" t="s">
        <v>43</v>
      </c>
      <c r="D267" s="35" t="s">
        <v>45</v>
      </c>
      <c r="E267" s="34" t="s">
        <v>332</v>
      </c>
      <c r="F267" s="35" t="s">
        <v>43</v>
      </c>
      <c r="G267" s="34" t="s">
        <v>333</v>
      </c>
      <c r="H267" s="34" t="s">
        <v>43</v>
      </c>
      <c r="I267" s="35" t="n">
        <v>7.0</v>
      </c>
      <c r="J267" s="35"/>
      <c r="K267" s="37" t="n">
        <v>1.0</v>
      </c>
    </row>
    <row r="268">
      <c r="A268" s="35" t="s">
        <v>43</v>
      </c>
      <c r="B268" s="34" t="s">
        <v>43</v>
      </c>
      <c r="C268" s="35" t="s">
        <v>43</v>
      </c>
      <c r="D268" s="35" t="s">
        <v>118</v>
      </c>
      <c r="E268" s="34" t="s">
        <v>334</v>
      </c>
      <c r="F268" s="35" t="s">
        <v>43</v>
      </c>
      <c r="G268" s="34" t="s">
        <v>43</v>
      </c>
      <c r="H268" s="34" t="s">
        <v>43</v>
      </c>
      <c r="I268" s="35" t="n">
        <v>7.0</v>
      </c>
      <c r="J268" s="35"/>
      <c r="K268" s="37" t="n">
        <v>1.0</v>
      </c>
    </row>
    <row r="269">
      <c r="A269" s="35" t="s">
        <v>43</v>
      </c>
      <c r="B269" s="34" t="s">
        <v>43</v>
      </c>
      <c r="C269" s="35" t="s">
        <v>43</v>
      </c>
      <c r="D269" s="35" t="s">
        <v>43</v>
      </c>
      <c r="E269" s="34" t="s">
        <v>43</v>
      </c>
      <c r="F269" s="35" t="n">
        <v>0.0</v>
      </c>
      <c r="G269" s="34" t="s">
        <v>335</v>
      </c>
      <c r="H269" s="34" t="s">
        <v>43</v>
      </c>
      <c r="I269" s="35"/>
      <c r="J269" s="35"/>
      <c r="K269" s="37"/>
    </row>
    <row r="270">
      <c r="A270" s="35" t="s">
        <v>43</v>
      </c>
      <c r="B270" s="34" t="s">
        <v>43</v>
      </c>
      <c r="C270" s="35" t="s">
        <v>43</v>
      </c>
      <c r="D270" s="35" t="s">
        <v>43</v>
      </c>
      <c r="E270" s="34" t="s">
        <v>43</v>
      </c>
      <c r="F270" s="35" t="n">
        <v>1.0</v>
      </c>
      <c r="G270" s="34" t="s">
        <v>336</v>
      </c>
      <c r="H270" s="34" t="s">
        <v>43</v>
      </c>
      <c r="I270" s="35"/>
      <c r="J270" s="35"/>
      <c r="K270" s="37"/>
    </row>
    <row r="271">
      <c r="A271" s="35" t="s">
        <v>43</v>
      </c>
      <c r="B271" s="34" t="s">
        <v>43</v>
      </c>
      <c r="C271" s="35" t="s">
        <v>43</v>
      </c>
      <c r="D271" s="35" t="s">
        <v>43</v>
      </c>
      <c r="E271" s="34" t="s">
        <v>43</v>
      </c>
      <c r="F271" s="35" t="n">
        <v>2.0</v>
      </c>
      <c r="G271" s="34" t="s">
        <v>337</v>
      </c>
      <c r="H271" s="34" t="s">
        <v>43</v>
      </c>
      <c r="I271" s="35"/>
      <c r="J271" s="35"/>
      <c r="K271" s="37"/>
    </row>
    <row r="272">
      <c r="A272" s="35" t="s">
        <v>43</v>
      </c>
      <c r="B272" s="34" t="s">
        <v>43</v>
      </c>
      <c r="C272" s="35" t="s">
        <v>43</v>
      </c>
      <c r="D272" s="35" t="s">
        <v>43</v>
      </c>
      <c r="E272" s="34" t="s">
        <v>43</v>
      </c>
      <c r="F272" s="35" t="n">
        <v>3.0</v>
      </c>
      <c r="G272" s="34" t="s">
        <v>338</v>
      </c>
      <c r="H272" s="34" t="s">
        <v>43</v>
      </c>
      <c r="I272" s="35"/>
      <c r="J272" s="35"/>
      <c r="K272" s="37"/>
    </row>
    <row r="273">
      <c r="A273" s="35" t="s">
        <v>43</v>
      </c>
      <c r="B273" s="34" t="s">
        <v>43</v>
      </c>
      <c r="C273" s="35" t="s">
        <v>43</v>
      </c>
      <c r="D273" s="35" t="s">
        <v>118</v>
      </c>
      <c r="E273" s="34" t="s">
        <v>339</v>
      </c>
      <c r="F273" s="35" t="s">
        <v>43</v>
      </c>
      <c r="G273" s="34" t="s">
        <v>43</v>
      </c>
      <c r="H273" s="34" t="s">
        <v>43</v>
      </c>
      <c r="I273" s="35" t="n">
        <v>7.0</v>
      </c>
      <c r="J273" s="35"/>
      <c r="K273" s="37" t="n">
        <v>1.0</v>
      </c>
    </row>
    <row r="274">
      <c r="A274" s="35" t="s">
        <v>43</v>
      </c>
      <c r="B274" s="34" t="s">
        <v>43</v>
      </c>
      <c r="C274" s="35" t="s">
        <v>43</v>
      </c>
      <c r="D274" s="35" t="s">
        <v>43</v>
      </c>
      <c r="E274" s="34" t="s">
        <v>43</v>
      </c>
      <c r="F274" s="35" t="n">
        <v>0.0</v>
      </c>
      <c r="G274" s="34" t="s">
        <v>335</v>
      </c>
      <c r="H274" s="34" t="s">
        <v>43</v>
      </c>
      <c r="I274" s="35"/>
      <c r="J274" s="35"/>
      <c r="K274" s="37"/>
    </row>
    <row r="275">
      <c r="A275" s="35" t="s">
        <v>43</v>
      </c>
      <c r="B275" s="34" t="s">
        <v>43</v>
      </c>
      <c r="C275" s="35" t="s">
        <v>43</v>
      </c>
      <c r="D275" s="35" t="s">
        <v>43</v>
      </c>
      <c r="E275" s="34" t="s">
        <v>43</v>
      </c>
      <c r="F275" s="35" t="n">
        <v>1.0</v>
      </c>
      <c r="G275" s="34" t="s">
        <v>336</v>
      </c>
      <c r="H275" s="34" t="s">
        <v>43</v>
      </c>
      <c r="I275" s="35"/>
      <c r="J275" s="35"/>
      <c r="K275" s="37"/>
    </row>
    <row r="276">
      <c r="A276" s="35" t="s">
        <v>43</v>
      </c>
      <c r="B276" s="34" t="s">
        <v>43</v>
      </c>
      <c r="C276" s="35" t="s">
        <v>43</v>
      </c>
      <c r="D276" s="35" t="s">
        <v>43</v>
      </c>
      <c r="E276" s="34" t="s">
        <v>43</v>
      </c>
      <c r="F276" s="35" t="n">
        <v>2.0</v>
      </c>
      <c r="G276" s="34" t="s">
        <v>337</v>
      </c>
      <c r="H276" s="34" t="s">
        <v>43</v>
      </c>
      <c r="I276" s="35"/>
      <c r="J276" s="35"/>
      <c r="K276" s="37"/>
    </row>
    <row r="277">
      <c r="A277" s="35" t="s">
        <v>43</v>
      </c>
      <c r="B277" s="34" t="s">
        <v>43</v>
      </c>
      <c r="C277" s="35" t="s">
        <v>43</v>
      </c>
      <c r="D277" s="35" t="s">
        <v>43</v>
      </c>
      <c r="E277" s="34" t="s">
        <v>43</v>
      </c>
      <c r="F277" s="35" t="n">
        <v>3.0</v>
      </c>
      <c r="G277" s="34" t="s">
        <v>338</v>
      </c>
      <c r="H277" s="34" t="s">
        <v>43</v>
      </c>
      <c r="I277" s="35"/>
      <c r="J277" s="35"/>
      <c r="K277" s="37"/>
    </row>
    <row r="278">
      <c r="A278" s="35" t="s">
        <v>43</v>
      </c>
      <c r="B278" s="34" t="s">
        <v>43</v>
      </c>
      <c r="C278" s="35" t="s">
        <v>43</v>
      </c>
      <c r="D278" s="35" t="s">
        <v>43</v>
      </c>
      <c r="E278" s="34" t="s">
        <v>43</v>
      </c>
      <c r="F278" s="35" t="s">
        <v>43</v>
      </c>
      <c r="G278" s="34" t="s">
        <v>43</v>
      </c>
      <c r="H278" s="34" t="s">
        <v>43</v>
      </c>
      <c r="I278" s="35"/>
      <c r="J278" s="35"/>
      <c r="K278" s="37"/>
    </row>
    <row r="279">
      <c r="A279" s="35" t="s">
        <v>43</v>
      </c>
      <c r="B279" s="34" t="s">
        <v>43</v>
      </c>
      <c r="C279" s="35" t="s">
        <v>43</v>
      </c>
      <c r="D279" s="35" t="s">
        <v>43</v>
      </c>
      <c r="E279" s="34" t="s">
        <v>43</v>
      </c>
      <c r="F279" s="35" t="s">
        <v>43</v>
      </c>
      <c r="G279" s="34" t="s">
        <v>43</v>
      </c>
      <c r="H279" s="34" t="s">
        <v>43</v>
      </c>
      <c r="I279" s="35"/>
      <c r="J279" s="35"/>
      <c r="K279" s="37"/>
    </row>
    <row r="280">
      <c r="A280" s="128" t="s">
        <v>15</v>
      </c>
      <c r="B280" s="129" t="s">
        <v>16</v>
      </c>
      <c r="C280" s="130" t="s">
        <v>10</v>
      </c>
      <c r="D280" s="131" t="s">
        <v>6</v>
      </c>
      <c r="E280" s="132" t="s">
        <v>1</v>
      </c>
      <c r="F280" s="133" t="s">
        <v>2</v>
      </c>
      <c r="G280" s="134" t="s">
        <v>8</v>
      </c>
      <c r="H280" s="135" t="s">
        <v>9</v>
      </c>
      <c r="I280" s="136" t="s">
        <v>23</v>
      </c>
      <c r="J280" s="137" t="s">
        <v>11</v>
      </c>
      <c r="K280" s="138" t="s">
        <v>3</v>
      </c>
      <c r="L280" s="139" t="s">
        <v>340</v>
      </c>
      <c r="M280" s="140" t="s">
        <v>4</v>
      </c>
      <c r="N280" s="141">
        <f>SUM(K281:K297)</f>
      </c>
    </row>
    <row r="281">
      <c r="A281" s="35" t="s">
        <v>341</v>
      </c>
      <c r="B281" s="34" t="s">
        <v>342</v>
      </c>
      <c r="C281" s="35" t="s">
        <v>69</v>
      </c>
      <c r="D281" s="34" t="s">
        <v>43</v>
      </c>
      <c r="E281" s="34" t="s">
        <v>43</v>
      </c>
      <c r="F281" s="34" t="s">
        <v>43</v>
      </c>
      <c r="G281" s="34" t="s">
        <v>43</v>
      </c>
      <c r="H281" s="34" t="s">
        <v>43</v>
      </c>
      <c r="I281" s="34" t="s">
        <v>43</v>
      </c>
      <c r="J281" s="34" t="s">
        <v>43</v>
      </c>
      <c r="K281" s="34" t="s">
        <v>43</v>
      </c>
    </row>
    <row r="282">
      <c r="A282" s="35" t="s">
        <v>43</v>
      </c>
      <c r="B282" s="34" t="s">
        <v>43</v>
      </c>
      <c r="C282" s="35" t="s">
        <v>43</v>
      </c>
      <c r="D282" s="35" t="s">
        <v>45</v>
      </c>
      <c r="E282" s="34" t="s">
        <v>343</v>
      </c>
      <c r="F282" s="35" t="s">
        <v>43</v>
      </c>
      <c r="G282" s="34" t="s">
        <v>344</v>
      </c>
      <c r="H282" s="34" t="s">
        <v>43</v>
      </c>
      <c r="I282" s="35" t="n">
        <v>8.0</v>
      </c>
      <c r="J282" s="35"/>
      <c r="K282" s="37" t="n">
        <v>0.5</v>
      </c>
    </row>
    <row r="283">
      <c r="A283" s="35" t="s">
        <v>43</v>
      </c>
      <c r="B283" s="34" t="s">
        <v>43</v>
      </c>
      <c r="C283" s="35" t="s">
        <v>43</v>
      </c>
      <c r="D283" s="35" t="s">
        <v>45</v>
      </c>
      <c r="E283" s="34" t="s">
        <v>345</v>
      </c>
      <c r="F283" s="35" t="s">
        <v>43</v>
      </c>
      <c r="G283" s="34" t="s">
        <v>346</v>
      </c>
      <c r="H283" s="34" t="s">
        <v>43</v>
      </c>
      <c r="I283" s="35" t="n">
        <v>8.0</v>
      </c>
      <c r="J283" s="35"/>
      <c r="K283" s="37" t="n">
        <v>1.0</v>
      </c>
    </row>
    <row r="284">
      <c r="A284" s="35" t="s">
        <v>43</v>
      </c>
      <c r="B284" s="34" t="s">
        <v>43</v>
      </c>
      <c r="C284" s="35" t="s">
        <v>43</v>
      </c>
      <c r="D284" s="35" t="s">
        <v>45</v>
      </c>
      <c r="E284" s="34" t="s">
        <v>347</v>
      </c>
      <c r="F284" s="35" t="s">
        <v>43</v>
      </c>
      <c r="G284" s="34" t="s">
        <v>344</v>
      </c>
      <c r="H284" s="34" t="s">
        <v>43</v>
      </c>
      <c r="I284" s="35" t="n">
        <v>8.0</v>
      </c>
      <c r="J284" s="35"/>
      <c r="K284" s="37" t="n">
        <v>0.5</v>
      </c>
    </row>
    <row r="285">
      <c r="A285" s="35" t="s">
        <v>43</v>
      </c>
      <c r="B285" s="34" t="s">
        <v>43</v>
      </c>
      <c r="C285" s="35" t="s">
        <v>43</v>
      </c>
      <c r="D285" s="35" t="s">
        <v>45</v>
      </c>
      <c r="E285" s="34" t="s">
        <v>348</v>
      </c>
      <c r="F285" s="35" t="s">
        <v>43</v>
      </c>
      <c r="G285" s="34" t="s">
        <v>349</v>
      </c>
      <c r="H285" s="34" t="s">
        <v>43</v>
      </c>
      <c r="I285" s="35" t="n">
        <v>8.0</v>
      </c>
      <c r="J285" s="35"/>
      <c r="K285" s="37" t="n">
        <v>1.0</v>
      </c>
    </row>
    <row r="286">
      <c r="A286" s="35" t="s">
        <v>43</v>
      </c>
      <c r="B286" s="34" t="s">
        <v>43</v>
      </c>
      <c r="C286" s="35" t="s">
        <v>43</v>
      </c>
      <c r="D286" s="35" t="s">
        <v>45</v>
      </c>
      <c r="E286" s="34" t="s">
        <v>350</v>
      </c>
      <c r="F286" s="35" t="s">
        <v>43</v>
      </c>
      <c r="G286" s="34" t="s">
        <v>351</v>
      </c>
      <c r="H286" s="34" t="s">
        <v>43</v>
      </c>
      <c r="I286" s="35" t="n">
        <v>8.0</v>
      </c>
      <c r="J286" s="35"/>
      <c r="K286" s="37" t="n">
        <v>1.0</v>
      </c>
    </row>
    <row r="287">
      <c r="A287" s="35" t="s">
        <v>43</v>
      </c>
      <c r="B287" s="34" t="s">
        <v>43</v>
      </c>
      <c r="C287" s="35" t="s">
        <v>43</v>
      </c>
      <c r="D287" s="35" t="s">
        <v>45</v>
      </c>
      <c r="E287" s="34" t="s">
        <v>352</v>
      </c>
      <c r="F287" s="35" t="s">
        <v>43</v>
      </c>
      <c r="G287" s="34" t="s">
        <v>353</v>
      </c>
      <c r="H287" s="34" t="s">
        <v>43</v>
      </c>
      <c r="I287" s="35" t="n">
        <v>8.0</v>
      </c>
      <c r="J287" s="35"/>
      <c r="K287" s="37" t="n">
        <v>1.0</v>
      </c>
    </row>
    <row r="288">
      <c r="A288" s="35" t="s">
        <v>43</v>
      </c>
      <c r="B288" s="34" t="s">
        <v>43</v>
      </c>
      <c r="C288" s="35" t="s">
        <v>43</v>
      </c>
      <c r="D288" s="35" t="s">
        <v>45</v>
      </c>
      <c r="E288" s="34" t="s">
        <v>354</v>
      </c>
      <c r="F288" s="35" t="s">
        <v>43</v>
      </c>
      <c r="G288" s="34" t="s">
        <v>355</v>
      </c>
      <c r="H288" s="34" t="s">
        <v>43</v>
      </c>
      <c r="I288" s="35" t="n">
        <v>8.0</v>
      </c>
      <c r="J288" s="35"/>
      <c r="K288" s="37" t="n">
        <v>1.0</v>
      </c>
    </row>
    <row r="289">
      <c r="A289" s="35" t="s">
        <v>43</v>
      </c>
      <c r="B289" s="34" t="s">
        <v>43</v>
      </c>
      <c r="C289" s="35" t="s">
        <v>43</v>
      </c>
      <c r="D289" s="35" t="s">
        <v>45</v>
      </c>
      <c r="E289" s="34" t="s">
        <v>356</v>
      </c>
      <c r="F289" s="35" t="s">
        <v>43</v>
      </c>
      <c r="G289" s="34" t="s">
        <v>357</v>
      </c>
      <c r="H289" s="34" t="s">
        <v>43</v>
      </c>
      <c r="I289" s="35" t="n">
        <v>8.0</v>
      </c>
      <c r="J289" s="35"/>
      <c r="K289" s="37" t="n">
        <v>1.0</v>
      </c>
    </row>
    <row r="290">
      <c r="A290" s="35" t="s">
        <v>43</v>
      </c>
      <c r="B290" s="34" t="s">
        <v>43</v>
      </c>
      <c r="C290" s="35" t="s">
        <v>43</v>
      </c>
      <c r="D290" s="35" t="s">
        <v>45</v>
      </c>
      <c r="E290" s="34" t="s">
        <v>358</v>
      </c>
      <c r="F290" s="35" t="s">
        <v>43</v>
      </c>
      <c r="G290" s="34" t="s">
        <v>359</v>
      </c>
      <c r="H290" s="34" t="s">
        <v>43</v>
      </c>
      <c r="I290" s="35" t="n">
        <v>8.0</v>
      </c>
      <c r="J290" s="35"/>
      <c r="K290" s="37" t="n">
        <v>1.0</v>
      </c>
    </row>
    <row r="291">
      <c r="A291" s="35" t="s">
        <v>43</v>
      </c>
      <c r="B291" s="34" t="s">
        <v>43</v>
      </c>
      <c r="C291" s="35" t="s">
        <v>43</v>
      </c>
      <c r="D291" s="35" t="s">
        <v>118</v>
      </c>
      <c r="E291" s="34" t="s">
        <v>360</v>
      </c>
      <c r="F291" s="35" t="s">
        <v>43</v>
      </c>
      <c r="G291" s="34" t="s">
        <v>43</v>
      </c>
      <c r="H291" s="34" t="s">
        <v>43</v>
      </c>
      <c r="I291" s="35" t="n">
        <v>8.0</v>
      </c>
      <c r="J291" s="35"/>
      <c r="K291" s="37" t="n">
        <v>2.0</v>
      </c>
    </row>
    <row r="292">
      <c r="A292" s="35" t="s">
        <v>43</v>
      </c>
      <c r="B292" s="34" t="s">
        <v>43</v>
      </c>
      <c r="C292" s="35" t="s">
        <v>43</v>
      </c>
      <c r="D292" s="35" t="s">
        <v>43</v>
      </c>
      <c r="E292" s="34" t="s">
        <v>43</v>
      </c>
      <c r="F292" s="35" t="n">
        <v>0.0</v>
      </c>
      <c r="G292" s="34" t="s">
        <v>361</v>
      </c>
      <c r="H292" s="34" t="s">
        <v>43</v>
      </c>
      <c r="I292" s="35"/>
      <c r="J292" s="35"/>
      <c r="K292" s="37"/>
    </row>
    <row r="293">
      <c r="A293" s="35" t="s">
        <v>43</v>
      </c>
      <c r="B293" s="34" t="s">
        <v>43</v>
      </c>
      <c r="C293" s="35" t="s">
        <v>43</v>
      </c>
      <c r="D293" s="35" t="s">
        <v>43</v>
      </c>
      <c r="E293" s="34" t="s">
        <v>43</v>
      </c>
      <c r="F293" s="35" t="n">
        <v>1.0</v>
      </c>
      <c r="G293" s="34" t="s">
        <v>362</v>
      </c>
      <c r="H293" s="34" t="s">
        <v>43</v>
      </c>
      <c r="I293" s="35"/>
      <c r="J293" s="35"/>
      <c r="K293" s="37"/>
    </row>
    <row r="294">
      <c r="A294" s="35" t="s">
        <v>43</v>
      </c>
      <c r="B294" s="34" t="s">
        <v>43</v>
      </c>
      <c r="C294" s="35" t="s">
        <v>43</v>
      </c>
      <c r="D294" s="35" t="s">
        <v>43</v>
      </c>
      <c r="E294" s="34" t="s">
        <v>43</v>
      </c>
      <c r="F294" s="35" t="n">
        <v>2.0</v>
      </c>
      <c r="G294" s="34" t="s">
        <v>363</v>
      </c>
      <c r="H294" s="34" t="s">
        <v>43</v>
      </c>
      <c r="I294" s="35"/>
      <c r="J294" s="35"/>
      <c r="K294" s="37"/>
    </row>
    <row r="295">
      <c r="A295" s="35" t="s">
        <v>43</v>
      </c>
      <c r="B295" s="34" t="s">
        <v>43</v>
      </c>
      <c r="C295" s="35" t="s">
        <v>43</v>
      </c>
      <c r="D295" s="35" t="s">
        <v>43</v>
      </c>
      <c r="E295" s="34" t="s">
        <v>43</v>
      </c>
      <c r="F295" s="35" t="n">
        <v>3.0</v>
      </c>
      <c r="G295" s="34" t="s">
        <v>364</v>
      </c>
      <c r="H295" s="34" t="s">
        <v>43</v>
      </c>
      <c r="I295" s="35"/>
      <c r="J295" s="35"/>
      <c r="K295" s="37"/>
    </row>
    <row r="296">
      <c r="A296" s="35" t="s">
        <v>43</v>
      </c>
      <c r="B296" s="34" t="s">
        <v>43</v>
      </c>
      <c r="C296" s="35" t="s">
        <v>43</v>
      </c>
      <c r="D296" s="35" t="s">
        <v>43</v>
      </c>
      <c r="E296" s="34" t="s">
        <v>43</v>
      </c>
      <c r="F296" s="35" t="s">
        <v>43</v>
      </c>
      <c r="G296" s="34" t="s">
        <v>43</v>
      </c>
      <c r="H296" s="34" t="s">
        <v>43</v>
      </c>
      <c r="I296" s="35"/>
      <c r="J296" s="35"/>
      <c r="K296" s="37"/>
    </row>
    <row r="297">
      <c r="A297" s="35" t="s">
        <v>43</v>
      </c>
      <c r="B297" s="34" t="s">
        <v>43</v>
      </c>
      <c r="C297" s="35" t="s">
        <v>43</v>
      </c>
      <c r="D297" s="35" t="s">
        <v>43</v>
      </c>
      <c r="E297" s="34" t="s">
        <v>43</v>
      </c>
      <c r="F297" s="35" t="s">
        <v>43</v>
      </c>
      <c r="G297" s="34" t="s">
        <v>43</v>
      </c>
      <c r="H297" s="34" t="s">
        <v>43</v>
      </c>
      <c r="I297" s="35"/>
      <c r="J297" s="35"/>
      <c r="K297" s="37"/>
    </row>
    <row r="298">
      <c r="A298" s="142" t="s">
        <v>15</v>
      </c>
      <c r="B298" s="143" t="s">
        <v>16</v>
      </c>
      <c r="C298" s="144" t="s">
        <v>10</v>
      </c>
      <c r="D298" s="145" t="s">
        <v>6</v>
      </c>
      <c r="E298" s="146" t="s">
        <v>1</v>
      </c>
      <c r="F298" s="147" t="s">
        <v>2</v>
      </c>
      <c r="G298" s="148" t="s">
        <v>8</v>
      </c>
      <c r="H298" s="149" t="s">
        <v>9</v>
      </c>
      <c r="I298" s="150" t="s">
        <v>23</v>
      </c>
      <c r="J298" s="151" t="s">
        <v>11</v>
      </c>
      <c r="K298" s="152" t="s">
        <v>3</v>
      </c>
      <c r="L298" s="153" t="s">
        <v>365</v>
      </c>
      <c r="M298" s="154" t="s">
        <v>4</v>
      </c>
      <c r="N298" s="155">
        <f>SUM(K299:K300)</f>
      </c>
    </row>
    <row r="299">
      <c r="A299" s="35" t="s">
        <v>43</v>
      </c>
      <c r="B299" s="34" t="s">
        <v>43</v>
      </c>
      <c r="C299" s="35" t="s">
        <v>43</v>
      </c>
      <c r="D299" s="35" t="s">
        <v>43</v>
      </c>
      <c r="E299" s="34" t="s">
        <v>43</v>
      </c>
      <c r="F299" s="35" t="s">
        <v>43</v>
      </c>
      <c r="G299" s="34" t="s">
        <v>43</v>
      </c>
      <c r="H299" s="34" t="s">
        <v>43</v>
      </c>
      <c r="I299" s="35"/>
      <c r="J299" s="35"/>
      <c r="K299" s="37"/>
    </row>
    <row r="300">
      <c r="A300" s="38" t="s">
        <v>43</v>
      </c>
      <c r="B300" s="38" t="s">
        <v>43</v>
      </c>
      <c r="C300" s="38" t="s">
        <v>43</v>
      </c>
      <c r="D300" s="38" t="s">
        <v>43</v>
      </c>
      <c r="E300" s="38" t="s">
        <v>43</v>
      </c>
      <c r="F300" s="38" t="s">
        <v>43</v>
      </c>
      <c r="G300" s="38" t="s">
        <v>43</v>
      </c>
      <c r="H300" s="38" t="s">
        <v>43</v>
      </c>
      <c r="I300" s="38" t="s">
        <v>43</v>
      </c>
      <c r="J300" s="38" t="s">
        <v>43</v>
      </c>
      <c r="K300" s="38" t="s">
        <v>43</v>
      </c>
    </row>
    <row r="303" spans="1:14" ht="42" x14ac:dyDescent="0.15">
      <c r="L303" s="5" t="s">
        <v>5</v>
      </c>
      <c r="M303" s="6" t="s">
        <v>4</v>
      </c>
      <c r="N303" s="7">
        <f>SUM(N1:N301)</f>
      </c>
    </row>
  </sheetData>
  <mergeCells count="47">
    <mergeCell ref="B4:H4"/>
    <mergeCell ref="A3:K3"/>
    <mergeCell ref="A1:K1"/>
    <mergeCell ref="B5:H5"/>
    <mergeCell ref="B6:H6"/>
    <mergeCell ref="B7:H7"/>
    <mergeCell ref="B8:H8"/>
    <mergeCell ref="B9:H9"/>
    <mergeCell ref="B10:H10"/>
    <mergeCell ref="B11:H11"/>
    <mergeCell ref="A16:K16"/>
    <mergeCell ref="B17:J17"/>
    <mergeCell ref="I13:J13"/>
    <mergeCell ref="B12:H12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cols>
    <col min="1" max="1" customWidth="true" style="1" width="21.33203125"/>
    <col min="2" max="2" customWidth="true" style="1" width="28.6640625"/>
    <col min="3" max="3" customWidth="true" style="1" width="7.1640625"/>
    <col min="4" max="4" customWidth="true" style="1" width="69.5"/>
    <col min="5" max="16384" style="1" width="8.83203125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cp:lastModifiedBy>Microsoft Office User</cp:lastModifiedBy>
  <cp:lastPrinted>2010-04-28T04:08:36Z</cp:lastPrinted>
  <dcterms:modified xsi:type="dcterms:W3CDTF">2022-03-24T02:45:09Z</dcterms:modified>
</cp:coreProperties>
</file>